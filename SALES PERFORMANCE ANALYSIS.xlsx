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E7D60C3E-C9D1-4975-963B-4D6ED050E67B}" xr6:coauthVersionLast="47" xr6:coauthVersionMax="47" xr10:uidLastSave="{00000000-0000-0000-0000-000000000000}"/>
  <bookViews>
    <workbookView xWindow="-120" yWindow="-120" windowWidth="20730" windowHeight="11160" firstSheet="3" activeTab="6" xr2:uid="{00000000-000D-0000-FFFF-FFFF00000000}"/>
  </bookViews>
  <sheets>
    <sheet name="RAW DATA" sheetId="25" r:id="rId1"/>
    <sheet name="CLEANED DATA" sheetId="1" r:id="rId2"/>
    <sheet name="2024 DASHBOARD" sheetId="21" r:id="rId3"/>
    <sheet name="DASHBOARD 2" sheetId="15" r:id="rId4"/>
    <sheet name="INSIGHT" sheetId="9" r:id="rId5"/>
    <sheet name="SALES ANALYSIS" sheetId="3" r:id="rId6"/>
    <sheet name="2023 VS 2024 PERFORMANCE" sheetId="12" r:id="rId7"/>
    <sheet name="ORDERS" sheetId="24" r:id="rId8"/>
    <sheet name="QUANTITY" sheetId="23" r:id="rId9"/>
    <sheet name="DISCOUNT" sheetId="18" r:id="rId10"/>
    <sheet name="PROFIT ANALYSIS" sheetId="2" r:id="rId11"/>
    <sheet name="COST ANALYSIS" sheetId="8" r:id="rId12"/>
  </sheets>
  <definedNames>
    <definedName name="Slicer_Category">#N/A</definedName>
    <definedName name="Slicer_Months__Order_Date1">#N/A</definedName>
    <definedName name="Slicer_Region">#N/A</definedName>
    <definedName name="Slicer_Region1">#N/A</definedName>
    <definedName name="Slicer_Sales_Channel1">#N/A</definedName>
  </definedNames>
  <calcPr calcId="181029"/>
  <pivotCaches>
    <pivotCache cacheId="52"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2" i="24" l="1"/>
  <c r="L21" i="24"/>
  <c r="L20" i="24"/>
  <c r="L19" i="24"/>
  <c r="L10" i="24"/>
  <c r="L7" i="24"/>
  <c r="L11" i="24"/>
  <c r="L12" i="24"/>
  <c r="L9" i="24"/>
  <c r="L8" i="24"/>
  <c r="D34" i="24"/>
  <c r="D33" i="24"/>
  <c r="D32" i="24"/>
  <c r="D31" i="24"/>
  <c r="D30" i="24"/>
  <c r="D29" i="24"/>
  <c r="D35" i="24"/>
  <c r="D17" i="24"/>
  <c r="D18" i="24"/>
  <c r="D19" i="24"/>
  <c r="D20" i="24"/>
  <c r="D22" i="24"/>
  <c r="D21" i="24"/>
  <c r="S11" i="12"/>
  <c r="S12" i="12"/>
  <c r="S31" i="12"/>
  <c r="S32" i="12"/>
  <c r="S33" i="12"/>
  <c r="D9" i="24"/>
  <c r="D10" i="24"/>
  <c r="D7" i="24"/>
  <c r="D8" i="24"/>
  <c r="S10" i="12"/>
  <c r="S9" i="12"/>
  <c r="S8" i="12"/>
  <c r="S34" i="12"/>
  <c r="S13" i="12"/>
  <c r="D18" i="3"/>
  <c r="D19" i="3"/>
  <c r="D17" i="3"/>
  <c r="D16" i="3"/>
  <c r="D15" i="3"/>
  <c r="D14" i="3"/>
  <c r="D13" i="3"/>
  <c r="D26" i="3"/>
  <c r="D40" i="3"/>
  <c r="D30" i="3"/>
  <c r="D29" i="3"/>
  <c r="D28" i="3"/>
  <c r="D27" i="3"/>
  <c r="D25" i="3"/>
  <c r="D36" i="3"/>
  <c r="D35" i="3"/>
  <c r="N24" i="12"/>
  <c r="N25" i="12"/>
  <c r="I13" i="12"/>
  <c r="I12" i="12"/>
  <c r="I11" i="12"/>
  <c r="I10" i="12"/>
  <c r="I9" i="12"/>
  <c r="I8" i="12"/>
  <c r="N21" i="12"/>
  <c r="N22" i="12"/>
  <c r="N9" i="12"/>
  <c r="N10" i="12"/>
  <c r="N11" i="12"/>
  <c r="N12" i="12"/>
  <c r="N13" i="12"/>
  <c r="N8" i="12"/>
  <c r="N23" i="12"/>
  <c r="N20" i="12"/>
  <c r="D32" i="12"/>
  <c r="D26" i="12"/>
  <c r="D20" i="12"/>
  <c r="D14" i="12"/>
  <c r="D8" i="12"/>
  <c r="E12" i="18"/>
  <c r="J11" i="2"/>
  <c r="J7" i="2"/>
  <c r="J8" i="2"/>
  <c r="K7" i="18"/>
  <c r="K29" i="18"/>
  <c r="K19" i="18"/>
  <c r="K26" i="18"/>
  <c r="K27" i="18"/>
  <c r="K28" i="18"/>
  <c r="K30" i="18"/>
  <c r="K31" i="18"/>
  <c r="K25" i="18"/>
  <c r="K24" i="18"/>
  <c r="K23" i="18"/>
  <c r="K22" i="18"/>
  <c r="K21" i="18"/>
  <c r="K20" i="18"/>
  <c r="D17" i="8"/>
  <c r="D18" i="8"/>
  <c r="D19" i="8"/>
  <c r="D20" i="8"/>
  <c r="D21" i="8"/>
  <c r="D22" i="8"/>
  <c r="D23" i="8"/>
  <c r="D24" i="8"/>
  <c r="D25" i="8"/>
  <c r="D26" i="8"/>
  <c r="D27" i="8"/>
  <c r="D28" i="8"/>
  <c r="D29" i="8"/>
  <c r="K13" i="18"/>
  <c r="K12" i="18"/>
  <c r="K11" i="18"/>
  <c r="K10" i="18"/>
  <c r="K9" i="18"/>
  <c r="K8" i="18"/>
  <c r="E28" i="18"/>
  <c r="E27" i="18"/>
  <c r="E26" i="18"/>
  <c r="E25" i="18"/>
  <c r="E24" i="18"/>
  <c r="E23" i="18"/>
  <c r="E17" i="18"/>
  <c r="E16" i="18"/>
  <c r="E15" i="18"/>
  <c r="E14" i="18"/>
  <c r="E13" i="18"/>
  <c r="H11" i="8"/>
  <c r="H10" i="8"/>
  <c r="H9" i="8"/>
  <c r="H8" i="8"/>
  <c r="H7" i="8"/>
  <c r="H6" i="8"/>
  <c r="J9" i="2"/>
  <c r="J10" i="2"/>
  <c r="J12" i="2"/>
  <c r="D37" i="3"/>
  <c r="D38" i="3"/>
  <c r="D39" i="3"/>
</calcChain>
</file>

<file path=xl/sharedStrings.xml><?xml version="1.0" encoding="utf-8"?>
<sst xmlns="http://schemas.openxmlformats.org/spreadsheetml/2006/main" count="7875" uniqueCount="766">
  <si>
    <t>Order_ID</t>
  </si>
  <si>
    <t>Order_Date</t>
  </si>
  <si>
    <t>Product</t>
  </si>
  <si>
    <t>Category</t>
  </si>
  <si>
    <t>Region</t>
  </si>
  <si>
    <t>Customer_Name</t>
  </si>
  <si>
    <t>Sales_Channel</t>
  </si>
  <si>
    <t>Quantity</t>
  </si>
  <si>
    <t>Unit_Price</t>
  </si>
  <si>
    <t>Revenue</t>
  </si>
  <si>
    <t>Cost</t>
  </si>
  <si>
    <t>Discount</t>
  </si>
  <si>
    <t>Net_Revenue</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</si>
  <si>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</si>
  <si>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</si>
  <si>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</si>
  <si>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</si>
  <si>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</si>
  <si>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</si>
  <si>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</si>
  <si>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</si>
  <si>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</si>
  <si>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</si>
  <si>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</si>
  <si>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</si>
  <si>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</si>
  <si>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</si>
  <si>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</si>
  <si>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</si>
  <si>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</si>
  <si>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</si>
  <si>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</si>
  <si>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</si>
  <si>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</si>
  <si>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</si>
  <si>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</si>
  <si>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</si>
  <si>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</si>
  <si>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</si>
  <si>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</si>
  <si>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</si>
  <si>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</si>
  <si>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</si>
  <si>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</si>
  <si>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</si>
  <si>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</si>
  <si>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</si>
  <si>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</si>
  <si>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</si>
  <si>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</si>
  <si>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</si>
  <si>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</si>
  <si>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</si>
  <si>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</si>
  <si>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</si>
  <si>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</si>
  <si>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</si>
  <si>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</si>
  <si>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</si>
  <si>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</si>
  <si>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</si>
  <si>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</si>
  <si>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</si>
  <si>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</si>
  <si>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</si>
  <si>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</si>
  <si>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</si>
  <si>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</si>
  <si>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</si>
  <si>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</si>
  <si>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</si>
  <si>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</si>
  <si>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</si>
  <si>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</si>
  <si>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</si>
  <si>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</si>
  <si>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</si>
  <si>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</si>
  <si>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</si>
  <si>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</si>
  <si>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</si>
  <si>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</si>
  <si>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</si>
  <si>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</si>
  <si>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</si>
  <si>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</si>
  <si>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</si>
  <si>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</si>
  <si>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</si>
  <si>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</si>
  <si>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</si>
  <si>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</si>
  <si>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</si>
  <si>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</si>
  <si>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</si>
  <si>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</si>
  <si>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</si>
  <si>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</si>
  <si>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</si>
  <si>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</si>
  <si>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</si>
  <si>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</si>
  <si>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</si>
  <si>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</si>
  <si>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</si>
  <si>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</si>
  <si>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</si>
  <si>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</si>
  <si>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</si>
  <si>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</si>
  <si>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</si>
  <si>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</si>
  <si>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</si>
  <si>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</si>
  <si>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</si>
  <si>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</si>
  <si>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</si>
  <si>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</si>
  <si>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</si>
  <si>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</si>
  <si>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</si>
  <si>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</si>
  <si>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</si>
  <si>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</si>
  <si>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</si>
  <si>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</si>
  <si>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</si>
  <si>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</si>
  <si>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</si>
  <si>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</si>
  <si>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</si>
  <si>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</si>
  <si>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</si>
  <si>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</si>
  <si>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</si>
  <si>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</si>
  <si>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</si>
  <si>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</si>
  <si>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</si>
  <si>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</si>
  <si>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</si>
  <si>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</si>
  <si>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</si>
  <si>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</si>
  <si>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</si>
  <si>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</si>
  <si>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</si>
  <si>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</si>
  <si>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</si>
  <si>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</si>
  <si>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</si>
  <si>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</si>
  <si>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</si>
  <si>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</si>
  <si>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</si>
  <si>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</si>
  <si>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</si>
  <si>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</si>
  <si>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</si>
  <si>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</si>
  <si>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</si>
  <si>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</si>
  <si>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</si>
  <si>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</si>
  <si>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</si>
  <si>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</si>
  <si>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</si>
  <si>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</si>
  <si>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</si>
  <si>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</si>
  <si>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</si>
  <si>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</si>
  <si>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</si>
  <si>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</si>
  <si>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</si>
  <si>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</si>
  <si>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</si>
  <si>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</si>
  <si>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</si>
  <si>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</si>
  <si>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</si>
  <si>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</si>
  <si>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</si>
  <si>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</si>
  <si>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</si>
  <si>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</si>
  <si>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</si>
  <si>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</si>
  <si>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</si>
  <si>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</si>
  <si>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</si>
  <si>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</si>
  <si>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</si>
  <si>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</si>
  <si>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</si>
  <si>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</si>
  <si>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</si>
  <si>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</si>
  <si>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</si>
  <si>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</si>
  <si>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</si>
  <si>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</si>
  <si>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</si>
  <si>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</si>
  <si>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</si>
  <si>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</si>
  <si>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</si>
  <si>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</si>
  <si>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</si>
  <si>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</si>
  <si>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</si>
  <si>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</si>
  <si>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</si>
  <si>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</si>
  <si>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</si>
  <si>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</si>
  <si>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</si>
  <si>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</si>
  <si>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</si>
  <si>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</si>
  <si>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</si>
  <si>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</si>
  <si>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</si>
  <si>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</si>
  <si>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</si>
  <si>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</si>
  <si>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</si>
  <si>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</si>
  <si>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</si>
  <si>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</si>
  <si>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</si>
  <si>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</si>
  <si>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</si>
  <si>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</si>
  <si>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</si>
  <si>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</si>
  <si>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</si>
  <si>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</si>
  <si>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</si>
  <si>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</si>
  <si>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</si>
  <si>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</si>
  <si>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</si>
  <si>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</si>
  <si>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</si>
  <si>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</si>
  <si>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</si>
  <si>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</si>
  <si>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</si>
  <si>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</si>
  <si>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</si>
  <si>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</si>
  <si>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</si>
  <si>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</si>
  <si>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</si>
  <si>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</si>
  <si>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</si>
  <si>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</si>
  <si>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</si>
  <si>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</si>
  <si>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</si>
  <si>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</si>
  <si>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</si>
  <si>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</si>
  <si>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</si>
  <si>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</si>
  <si>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</si>
  <si>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</si>
  <si>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</si>
  <si>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</si>
  <si>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</si>
  <si>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</si>
  <si>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</si>
  <si>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</si>
  <si>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</si>
  <si>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</si>
  <si>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</si>
  <si>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</si>
  <si>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</si>
  <si>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</si>
  <si>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</si>
  <si>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</si>
  <si>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</si>
  <si>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</si>
  <si>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</si>
  <si>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</si>
  <si>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</si>
  <si>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</si>
  <si>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</si>
  <si>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</si>
  <si>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</si>
  <si>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</si>
  <si>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</si>
  <si>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</si>
  <si>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</si>
  <si>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</si>
  <si>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</si>
  <si>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</si>
  <si>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</si>
  <si>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</si>
  <si>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</si>
  <si>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</si>
  <si>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</si>
  <si>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</si>
  <si>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</si>
  <si>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</si>
  <si>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</si>
  <si>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</si>
  <si>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</si>
  <si>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</si>
  <si>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</si>
  <si>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</si>
  <si>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</si>
  <si>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</si>
  <si>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</si>
  <si>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</si>
  <si>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</si>
  <si>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</si>
  <si>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</si>
  <si>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</si>
  <si>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</si>
  <si>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</si>
  <si>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</si>
  <si>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</si>
  <si>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</si>
  <si>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</si>
  <si>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</si>
  <si>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</si>
  <si>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</si>
  <si>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</si>
  <si>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</si>
  <si>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</si>
  <si>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</si>
  <si>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</si>
  <si>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</si>
  <si>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</si>
  <si>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</si>
  <si>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</si>
  <si>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</si>
  <si>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</si>
  <si>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</si>
  <si>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</si>
  <si>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</si>
  <si>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</si>
  <si>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</si>
  <si>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</si>
  <si>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</si>
  <si>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</si>
  <si>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</si>
  <si>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</si>
  <si>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</si>
  <si>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</si>
  <si>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</si>
  <si>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</si>
  <si>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</si>
  <si>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</si>
  <si>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</si>
  <si>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</si>
  <si>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</si>
  <si>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</si>
  <si>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</si>
  <si>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</si>
  <si>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</si>
  <si>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</si>
  <si>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</si>
  <si>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</si>
  <si>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</si>
  <si>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</si>
  <si>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</si>
  <si>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</si>
  <si>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</si>
  <si>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</si>
  <si>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</si>
  <si>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</si>
  <si>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</si>
  <si>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</si>
  <si>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</si>
  <si>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</si>
  <si>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</si>
  <si>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</si>
  <si>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</si>
  <si>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</si>
  <si>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</si>
  <si>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</si>
  <si>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</si>
  <si>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</si>
  <si>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</si>
  <si>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</si>
  <si>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</si>
  <si>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</si>
  <si>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</si>
  <si>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</si>
  <si>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</si>
  <si>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</si>
  <si>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</si>
  <si>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</si>
  <si>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</si>
  <si>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</si>
  <si>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</si>
  <si>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</si>
  <si>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</si>
  <si>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</si>
  <si>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</si>
  <si>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</si>
  <si>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</si>
  <si>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</si>
  <si>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</si>
  <si>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</si>
  <si>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</si>
  <si>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</si>
  <si>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</si>
  <si>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</si>
  <si>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</si>
  <si>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</si>
  <si>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</si>
  <si>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</si>
  <si>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</si>
  <si>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</si>
  <si>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</si>
  <si>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</si>
  <si>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</si>
  <si>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</si>
  <si>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</si>
  <si>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</si>
  <si>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</si>
  <si>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</si>
  <si>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</si>
  <si>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</si>
  <si>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</si>
  <si>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</si>
  <si>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</si>
  <si>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</si>
  <si>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</si>
  <si>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</si>
  <si>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</si>
  <si>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</si>
  <si>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</si>
  <si>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</si>
  <si>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</si>
  <si>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</si>
  <si>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</si>
  <si>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</si>
  <si>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</si>
  <si>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</si>
  <si>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</si>
  <si>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</si>
  <si>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</si>
  <si>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</si>
  <si>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</si>
  <si>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</si>
  <si>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</si>
  <si>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</si>
  <si>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</si>
  <si>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</si>
  <si>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</si>
  <si>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</si>
  <si>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</si>
  <si>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</si>
  <si>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</si>
  <si>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</si>
  <si>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</si>
  <si>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</si>
  <si>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</si>
  <si>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</si>
  <si>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</si>
  <si>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</si>
  <si>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</si>
  <si>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</si>
  <si>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</si>
  <si>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</si>
  <si>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</si>
  <si>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</si>
  <si>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</si>
  <si>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</si>
  <si>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</si>
  <si>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</si>
  <si>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</si>
  <si>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</si>
  <si>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</si>
  <si>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</si>
  <si>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</si>
  <si>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</si>
  <si>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</si>
  <si>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</si>
  <si>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</si>
  <si>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</si>
  <si>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</si>
  <si>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</si>
  <si>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</si>
  <si>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</si>
  <si>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</si>
  <si>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</si>
  <si>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</si>
  <si>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</si>
  <si>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</si>
  <si>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</si>
  <si>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</si>
  <si>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</si>
  <si>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</si>
  <si>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</si>
  <si>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</si>
  <si>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</si>
  <si>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</si>
  <si>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</si>
  <si>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</si>
  <si>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</si>
  <si>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</si>
  <si>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</si>
  <si>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</si>
  <si>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</si>
  <si>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</si>
  <si>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</si>
  <si>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</si>
  <si>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</si>
  <si>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</si>
  <si>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</si>
  <si>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</si>
  <si>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</si>
  <si>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</si>
  <si>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</si>
  <si>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</si>
  <si>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</si>
  <si>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</si>
  <si>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</si>
  <si>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</si>
  <si>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</si>
  <si>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</si>
  <si>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</si>
  <si>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</si>
  <si>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</si>
  <si>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</si>
  <si>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</si>
  <si>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</si>
  <si>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</si>
  <si>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</si>
  <si>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</si>
  <si>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</si>
  <si>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</si>
  <si>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</si>
  <si>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</si>
  <si>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</si>
  <si>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</si>
  <si>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</si>
  <si>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</si>
  <si>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</si>
  <si>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</si>
  <si>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</si>
  <si>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</si>
  <si>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</si>
  <si>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</si>
  <si>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</si>
  <si>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</si>
  <si>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</si>
  <si>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</si>
  <si>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</si>
  <si>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</si>
  <si>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</si>
  <si>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</si>
  <si>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</si>
  <si>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</si>
  <si>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</si>
  <si>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</si>
  <si>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</si>
  <si>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</si>
  <si>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</si>
  <si>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</si>
  <si>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</si>
  <si>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</si>
  <si>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</si>
  <si>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</si>
  <si>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</si>
  <si>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</si>
  <si>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</si>
  <si>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</si>
  <si>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</si>
  <si>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</si>
  <si>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</si>
  <si>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</si>
  <si>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</si>
  <si>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</si>
  <si>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</si>
  <si>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</si>
  <si>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</si>
  <si>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</si>
  <si>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</si>
  <si>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</si>
  <si>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</si>
  <si>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</si>
  <si>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</si>
  <si>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</si>
  <si>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</si>
  <si>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</si>
  <si>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</si>
  <si>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</si>
  <si>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</si>
  <si>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</si>
  <si>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</si>
  <si>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</si>
  <si>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</si>
  <si>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</si>
  <si>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</si>
  <si>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</si>
  <si>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</si>
  <si>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</si>
  <si>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</si>
  <si>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</si>
  <si>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</si>
  <si>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</si>
  <si>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</si>
  <si>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</si>
  <si>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</si>
  <si>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</si>
  <si>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</si>
  <si>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Phone</t>
  </si>
  <si>
    <t>Printer</t>
  </si>
  <si>
    <t>Laptop</t>
  </si>
  <si>
    <t>Monitor</t>
  </si>
  <si>
    <t>Tablet</t>
  </si>
  <si>
    <t>Accessories</t>
  </si>
  <si>
    <t>Electronics</t>
  </si>
  <si>
    <t>Ibadan</t>
  </si>
  <si>
    <t>Kano</t>
  </si>
  <si>
    <t>Port Harcourt</t>
  </si>
  <si>
    <t>Abuja</t>
  </si>
  <si>
    <t>Lagos</t>
  </si>
  <si>
    <t>Jane</t>
  </si>
  <si>
    <t>Grace</t>
  </si>
  <si>
    <t>John</t>
  </si>
  <si>
    <t>David</t>
  </si>
  <si>
    <t>Paul</t>
  </si>
  <si>
    <t>Mary</t>
  </si>
  <si>
    <t>Retail</t>
  </si>
  <si>
    <t>Wholesale</t>
  </si>
  <si>
    <t>Online</t>
  </si>
  <si>
    <t>Row Labels</t>
  </si>
  <si>
    <t>Grand Total</t>
  </si>
  <si>
    <t>Sum of Net_Revenue</t>
  </si>
  <si>
    <t>Sum of Cost</t>
  </si>
  <si>
    <t>PROFIT</t>
  </si>
  <si>
    <t>Column Labels</t>
  </si>
  <si>
    <t>Sum of Discount</t>
  </si>
  <si>
    <t>Sum of PROFIT</t>
  </si>
  <si>
    <t>Jan</t>
  </si>
  <si>
    <t>Feb</t>
  </si>
  <si>
    <t>Mar</t>
  </si>
  <si>
    <t>Apr</t>
  </si>
  <si>
    <t>May</t>
  </si>
  <si>
    <t>Jun</t>
  </si>
  <si>
    <t>Jul</t>
  </si>
  <si>
    <t>Aug</t>
  </si>
  <si>
    <t>Sep</t>
  </si>
  <si>
    <t>Oct</t>
  </si>
  <si>
    <t>Nov</t>
  </si>
  <si>
    <t>Dec</t>
  </si>
  <si>
    <t>2023</t>
  </si>
  <si>
    <t>2024</t>
  </si>
  <si>
    <t>Total Revenue</t>
  </si>
  <si>
    <t>Months</t>
  </si>
  <si>
    <t>Profit</t>
  </si>
  <si>
    <t>Total Profit</t>
  </si>
  <si>
    <t>Customer</t>
  </si>
  <si>
    <t>Sum of Profit margin</t>
  </si>
  <si>
    <t>Net revenue increased by approximately 13.96%</t>
  </si>
  <si>
    <t/>
  </si>
  <si>
    <t>% Change</t>
  </si>
  <si>
    <t xml:space="preserve"> </t>
  </si>
  <si>
    <t>While discount increased by whooping 24.17% which is 10% higher compared to other factors</t>
  </si>
  <si>
    <t>Assuming discount also increased by an average of 13.83% instead of the 24.17%, the total discount would have been 42467453  in year 2024 instead of actual 46326907. This will make the net revenue to increase by 15.04%(additional 1.08%) which will make our profit to increase by 18.46% instead of the actual 14.62% (increment of 3.84%)</t>
  </si>
  <si>
    <t>Net Revenue by Region</t>
  </si>
  <si>
    <t>% CHANGE</t>
  </si>
  <si>
    <t>Years (Order_Date)</t>
  </si>
  <si>
    <t>PRODUCT</t>
  </si>
  <si>
    <t>Total Cost Incurred</t>
  </si>
  <si>
    <t>Total Discount</t>
  </si>
  <si>
    <t>Sum of Quantity</t>
  </si>
  <si>
    <t>MONTH</t>
  </si>
  <si>
    <t>Quantity by Product</t>
  </si>
  <si>
    <t>REVENUE FROM EACH YEAR</t>
  </si>
  <si>
    <t xml:space="preserve"> Net Revenue By Product</t>
  </si>
  <si>
    <t>Net Revenue by Customer</t>
  </si>
  <si>
    <t>Year</t>
  </si>
  <si>
    <t>Month</t>
  </si>
  <si>
    <t>Net Revenue</t>
  </si>
  <si>
    <t>Monthly Sales</t>
  </si>
  <si>
    <t>Products</t>
  </si>
  <si>
    <t>Revenue by Product</t>
  </si>
  <si>
    <t>Monthly Cost</t>
  </si>
  <si>
    <t>Quantity Sold</t>
  </si>
  <si>
    <t>Total Discount Allowed</t>
  </si>
  <si>
    <t>Total Profit Realized</t>
  </si>
  <si>
    <t>Total Cost</t>
  </si>
  <si>
    <t>Monthly Cost, Revenue, Profit by Product Summary</t>
  </si>
  <si>
    <t>Profit by Product</t>
  </si>
  <si>
    <t xml:space="preserve"> Cost by Product</t>
  </si>
  <si>
    <t>Quantity sold by Product</t>
  </si>
  <si>
    <t>Discount by Product</t>
  </si>
  <si>
    <t>Discount by Region</t>
  </si>
  <si>
    <t>Monthly Discount</t>
  </si>
  <si>
    <t>Number of Orders</t>
  </si>
  <si>
    <t xml:space="preserve"> 2024 Net Revenue by Products</t>
  </si>
  <si>
    <t xml:space="preserve"> Discount</t>
  </si>
  <si>
    <t xml:space="preserve">2024 Quantity sold </t>
  </si>
  <si>
    <t>Discount Granted to each Customer</t>
  </si>
  <si>
    <t>Profit margin by Product</t>
  </si>
  <si>
    <t>Profit Margin by Products</t>
  </si>
  <si>
    <t>Profit by Products</t>
  </si>
  <si>
    <t>Profit by Region</t>
  </si>
  <si>
    <t xml:space="preserve"> PROFIT</t>
  </si>
  <si>
    <t>Cost by Region</t>
  </si>
  <si>
    <t>Cost by Product</t>
  </si>
  <si>
    <t>Revenue by Region</t>
  </si>
  <si>
    <t>Regions</t>
  </si>
  <si>
    <t>Sales Channel</t>
  </si>
  <si>
    <t>Number of Order</t>
  </si>
  <si>
    <t>Number of Order by Sales Channel</t>
  </si>
  <si>
    <t>Number of Order by Region</t>
  </si>
  <si>
    <t>Number of Order by Custoner</t>
  </si>
  <si>
    <t>Best customer based on Order is Jane. Between 2023 and 2024 the customer order increased by 48.89%</t>
  </si>
  <si>
    <t>printer order did not perform well in 2024. In 2023, 60 printers were ordered in total, however, it reduced to 50 - 16.67% decrease.</t>
  </si>
  <si>
    <t>Name</t>
  </si>
  <si>
    <t>Top five customers</t>
  </si>
  <si>
    <t>Top five customers by revenue</t>
  </si>
  <si>
    <t>Total number or orders</t>
  </si>
  <si>
    <t>Between year 2023 and 2024:</t>
  </si>
  <si>
    <t>Profit from Ibadan reduced by 14.29% in 2024 despite having a 1.04% increment in revenue in that year when compared to 2023. This is due to the fact that the cost of sales increased by 7.81% in 2024 when compared with 2023</t>
  </si>
  <si>
    <t>INSIGHTS:</t>
  </si>
  <si>
    <t xml:space="preserve">The company should reduce and also control the level of discounts offerrred to customers. </t>
  </si>
  <si>
    <t>Strategies that can be used to achive this:</t>
  </si>
  <si>
    <t>The company can introduce maximum discount limit for normal sales</t>
  </si>
  <si>
    <t>the company can choose to give discount to only custoners that purchase in high quantities</t>
  </si>
  <si>
    <t>Replace discount with alternatives such as: free delivery, loyalty points.</t>
  </si>
  <si>
    <t>The company should develop strategies to improve sales performance in Kano.</t>
  </si>
  <si>
    <t>Investigate why sales declined in Kano, such as: pricing, competition, product availability or distribution problem.</t>
  </si>
  <si>
    <t>Run targeted promotional campaigns specifically for Kano customers</t>
  </si>
  <si>
    <t>Partner with loacl distributors and retailers</t>
  </si>
  <si>
    <t>The company should strenghten its online sales channel. This is important because based on the insights given above, customers are now moving to online purchasing</t>
  </si>
  <si>
    <t>The company should improve its online ordering platform</t>
  </si>
  <si>
    <t>The company should provide convenient online payment and delivery options</t>
  </si>
  <si>
    <t>Use social media and digital advertising to attract customers</t>
  </si>
  <si>
    <t>The company should develop a strategy to recover decling wholesale sales</t>
  </si>
  <si>
    <t>The insight given above shows that wholesale sales was the most used channel in 2023, but became the least used in 2024</t>
  </si>
  <si>
    <t>The company should conduct a  review of wholesale customer complaints and purchasing behaviour</t>
  </si>
  <si>
    <t>Establish stronger relationships with major distributors</t>
  </si>
  <si>
    <t>The company might also create a special wholesale packages for some customers to ecncourage wholesales sales</t>
  </si>
  <si>
    <t xml:space="preserve">The company should prioritize selling hihg demand products such as Laptops and Taablets by maintaining adequate inventory, improving their protions in order to increase revenue </t>
  </si>
  <si>
    <t>There is a 16.67% decrease in the sales of Printers in 2024 compared to 2023</t>
  </si>
  <si>
    <t>The company should investigate and improve the sales of Printers.</t>
  </si>
  <si>
    <t>Investigate whether the decline is caused by price, competition, availability or changing customer preferences</t>
  </si>
  <si>
    <t>Target businesses, schools, and offices that regularly require printing equipment</t>
  </si>
  <si>
    <t>Offer after-sales services and maintaining packages</t>
  </si>
  <si>
    <t>The company should improve customer retention and increase sales per customer.</t>
  </si>
  <si>
    <t>The insight above shows that the number of customer orders increased by 48.89% between 2023 and 2024. However, because net revenue only increased by about 13.96% the company should not only focus on attracting more customers orders. It should also try to obtain more revenue from each customer/order.</t>
  </si>
  <si>
    <t>The comapany should introduce a customer loyalty programme</t>
  </si>
  <si>
    <t>Use customer purchasing history to recommend related products</t>
  </si>
  <si>
    <t>Give incentives for larger orders rather than simply giving discounts</t>
  </si>
  <si>
    <t>The company should also strenghten cost-control measures.</t>
  </si>
  <si>
    <t>The cost increased between 2023 and 2024 by approximately 13.69%. This is almost as fast as net revenue which increaased by 13.96%. Therefore, simply increasing sales may not be enough if costs continue to rise at a similar rate.</t>
  </si>
  <si>
    <t>The company should negotiate better price with the suppliers</t>
  </si>
  <si>
    <t>Reduce unnecessary operating expences</t>
  </si>
  <si>
    <t>Set cost targets for different departments or business activities.</t>
  </si>
  <si>
    <t>Cost increased by approximately 13.69%</t>
  </si>
  <si>
    <t xml:space="preserve"> Sales are mostly generated from Abuja.</t>
  </si>
  <si>
    <t xml:space="preserve"> In 2024, there was a 4.75% decrease in revenue in Kano even while revenue increased significantly in other regions.</t>
  </si>
  <si>
    <t xml:space="preserve"> In 2024, orders were mostly made via online sales channel. </t>
  </si>
  <si>
    <t xml:space="preserve"> In 2023, orders were mostly made via Wholesale Sales channel. However, in 2024, it became the least used among the the sales channel - Its usage decreased by 4.95% in 2024 which made online sales channel to be the most used sales channel to make order.</t>
  </si>
  <si>
    <t>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</si>
</sst>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7" x14ac:knownFonts="1">
    <font>
      <sz val="11"/>
      <color theme="1"/>
      <name val="Calibri"/>
      <family val="2"/>
      <scheme val="minor"/>
    </font>
    <font>
      <b/>
      <sz val="11"/>
      <color theme="1"/>
      <name val="Calibri"/>
      <family val="2"/>
      <scheme val="minor"/>
    </font>
    <font>
      <sz val="11"/>
      <color theme="1"/>
      <name val="Calibri"/>
      <family val="2"/>
      <scheme val="minor"/>
    </font>
    <font>
      <b/>
      <u/>
      <sz val="11"/>
      <color theme="1"/>
      <name val="Calibri"/>
      <family val="2"/>
      <scheme val="minor"/>
    </font>
    <font>
      <sz val="12"/>
      <color theme="1"/>
      <name val="Adobe Gothic Std B"/>
      <family val="2"/>
      <charset val="128"/>
    </font>
    <font>
      <b/>
      <u/>
      <sz val="22"/>
      <color theme="1"/>
      <name val="Adobe Gothic Std B"/>
      <family val="2"/>
      <charset val="128"/>
    </font>
    <font>
      <sz val="16"/>
      <color theme="1"/>
      <name val="Adobe Gothic Std B"/>
      <family val="2"/>
      <charset val="128"/>
    </font>
  </fonts>
  <fills count="5">
    <fill>
      <patternFill patternType="none"/>
    </fill>
    <fill>
      <patternFill patternType="gray125"/>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45">
    <xf numFmtId="0" fontId="0" fillId="0" borderId="0" xfId="0"/>
    <xf numFmtId="0" fontId="1" fillId="0" borderId="1" xfId="0" applyFont="1" applyBorder="1" applyAlignment="1">
      <alignment horizontal="center" vertical="top"/>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9" fontId="0" fillId="0" borderId="0" xfId="0" applyNumberFormat="1"/>
    <xf numFmtId="9" fontId="0" fillId="0" borderId="0" xfId="1" applyFont="1"/>
    <xf numFmtId="9" fontId="1" fillId="2" borderId="0" xfId="1" applyFont="1" applyFill="1"/>
    <xf numFmtId="9" fontId="1" fillId="2" borderId="3" xfId="1" applyFont="1" applyFill="1" applyBorder="1"/>
    <xf numFmtId="9" fontId="1" fillId="2" borderId="4" xfId="1" applyFont="1" applyFill="1" applyBorder="1"/>
    <xf numFmtId="10" fontId="0" fillId="0" borderId="0" xfId="1" applyNumberFormat="1" applyFont="1"/>
    <xf numFmtId="10" fontId="1" fillId="2" borderId="4" xfId="1" applyNumberFormat="1" applyFont="1" applyFill="1" applyBorder="1"/>
    <xf numFmtId="0" fontId="0" fillId="0" borderId="0" xfId="0" applyAlignment="1">
      <alignment horizontal="center"/>
    </xf>
    <xf numFmtId="10" fontId="1" fillId="2" borderId="3" xfId="1" applyNumberFormat="1" applyFont="1" applyFill="1" applyBorder="1" applyAlignment="1">
      <alignment horizontal="center"/>
    </xf>
    <xf numFmtId="0" fontId="0" fillId="0" borderId="0" xfId="0" pivotButton="1" applyAlignment="1">
      <alignment horizontal="center"/>
    </xf>
    <xf numFmtId="2" fontId="0" fillId="0" borderId="0" xfId="0" applyNumberFormat="1"/>
    <xf numFmtId="1" fontId="0" fillId="0" borderId="0" xfId="0" applyNumberFormat="1"/>
    <xf numFmtId="0" fontId="0" fillId="0" borderId="0" xfId="0" pivotButton="1" applyAlignment="1">
      <alignment horizontal="left"/>
    </xf>
    <xf numFmtId="0" fontId="0" fillId="3" borderId="0" xfId="0" applyFill="1"/>
    <xf numFmtId="0" fontId="3" fillId="0" borderId="0" xfId="0" applyFont="1"/>
    <xf numFmtId="0" fontId="3" fillId="0" borderId="0" xfId="0" applyFont="1" applyAlignment="1">
      <alignment horizontal="left"/>
    </xf>
    <xf numFmtId="0" fontId="1" fillId="2" borderId="3" xfId="0" applyFont="1" applyFill="1" applyBorder="1"/>
    <xf numFmtId="10" fontId="1" fillId="2" borderId="3" xfId="1" applyNumberFormat="1" applyFont="1" applyFill="1" applyBorder="1"/>
    <xf numFmtId="0" fontId="0" fillId="0" borderId="0" xfId="0" applyAlignment="1">
      <alignment horizontal="right"/>
    </xf>
    <xf numFmtId="0" fontId="0" fillId="0" borderId="0" xfId="0" pivotButton="1" applyAlignment="1">
      <alignment horizontal="right"/>
    </xf>
    <xf numFmtId="0" fontId="1" fillId="3" borderId="0" xfId="0" applyFont="1" applyFill="1"/>
    <xf numFmtId="1" fontId="0" fillId="0" borderId="0" xfId="0" applyNumberFormat="1" applyAlignment="1">
      <alignment horizontal="right"/>
    </xf>
    <xf numFmtId="1" fontId="0" fillId="0" borderId="0" xfId="0" pivotButton="1" applyNumberFormat="1"/>
    <xf numFmtId="1" fontId="0" fillId="0" borderId="0" xfId="0" applyNumberFormat="1" applyAlignment="1">
      <alignment horizontal="center"/>
    </xf>
    <xf numFmtId="0" fontId="4" fillId="4" borderId="0" xfId="0" applyFont="1" applyFill="1"/>
    <xf numFmtId="0" fontId="0" fillId="4" borderId="0" xfId="0" applyFill="1"/>
    <xf numFmtId="9" fontId="0" fillId="4" borderId="0" xfId="0" applyNumberFormat="1" applyFill="1"/>
    <xf numFmtId="9" fontId="0" fillId="4" borderId="0" xfId="1" applyFont="1" applyFill="1"/>
    <xf numFmtId="0" fontId="5" fillId="4" borderId="0" xfId="0" applyFont="1" applyFill="1"/>
    <xf numFmtId="164" fontId="0" fillId="0" borderId="0" xfId="2" applyNumberFormat="1" applyFont="1"/>
    <xf numFmtId="0" fontId="0" fillId="0" borderId="0" xfId="0" applyNumberFormat="1"/>
    <xf numFmtId="0" fontId="0" fillId="0" borderId="0" xfId="0" applyNumberFormat="1" applyAlignment="1">
      <alignment horizontal="center"/>
    </xf>
    <xf numFmtId="0" fontId="4" fillId="4" borderId="0" xfId="0" applyFont="1" applyFill="1" applyAlignment="1">
      <alignment wrapText="1"/>
    </xf>
    <xf numFmtId="0" fontId="0" fillId="4" borderId="0" xfId="0" applyFill="1" applyAlignment="1">
      <alignment horizontal="left" vertical="center"/>
    </xf>
    <xf numFmtId="0" fontId="4" fillId="4" borderId="0" xfId="0" applyFont="1" applyFill="1" applyAlignment="1">
      <alignment vertical="top" wrapText="1"/>
    </xf>
    <xf numFmtId="0" fontId="6" fillId="4" borderId="0" xfId="0" applyFont="1" applyFill="1"/>
    <xf numFmtId="0" fontId="6" fillId="4" borderId="0" xfId="0" applyFont="1" applyFill="1" applyAlignment="1">
      <alignment vertical="top" wrapText="1"/>
    </xf>
    <xf numFmtId="0" fontId="0" fillId="4" borderId="0" xfId="0" applyFill="1" applyAlignment="1">
      <alignment wrapText="1"/>
    </xf>
    <xf numFmtId="0" fontId="0" fillId="4" borderId="0" xfId="0" applyFill="1" applyAlignment="1">
      <alignment vertical="top" wrapText="1"/>
    </xf>
  </cellXfs>
  <cellStyles count="3">
    <cellStyle name="Currency" xfId="2" builtinId="4"/>
    <cellStyle name="Normal" xfId="0" builtinId="0"/>
    <cellStyle name="Percent" xfId="1" builtinId="5"/>
  </cellStyles>
  <dxfs count="110">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numFmt numFmtId="1" formatCode="0"/>
    </dxf>
    <dxf>
      <numFmt numFmtId="1" formatCode="0"/>
    </dxf>
    <dxf>
      <numFmt numFmtId="1" formatCode="0"/>
    </dxf>
    <dxf>
      <alignment horizontal="right"/>
    </dxf>
    <dxf>
      <alignment horizontal="right"/>
    </dxf>
    <dxf>
      <numFmt numFmtId="2" formatCode="0.00"/>
    </dxf>
    <dxf>
      <numFmt numFmtId="1" formatCode="0"/>
    </dxf>
    <dxf>
      <alignment horizontal="center"/>
    </dxf>
    <dxf>
      <alignment horizontal="center"/>
    </dxf>
    <dxf>
      <numFmt numFmtId="1" formatCode="0"/>
    </dxf>
    <dxf>
      <numFmt numFmtId="1" formatCode="0"/>
    </dxf>
    <dxf>
      <numFmt numFmtId="13" formatCode="0%"/>
    </dxf>
    <dxf>
      <numFmt numFmtId="1" formatCode="0"/>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right"/>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right"/>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1" formatCode="0"/>
    </dxf>
    <dxf>
      <numFmt numFmtId="1" formatCode="0"/>
    </dxf>
    <dxf>
      <numFmt numFmtId="1" formatCode="0"/>
    </dxf>
    <dxf>
      <numFmt numFmtId="1" formatCode="0"/>
    </dxf>
    <dxf>
      <numFmt numFmtId="1" formatCode="0"/>
    </dxf>
    <dxf>
      <numFmt numFmtId="1" formatCode="0"/>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alignment horizontal="right"/>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1" formatCode="0"/>
    </dxf>
    <dxf>
      <numFmt numFmtId="1" formatCode="0"/>
    </dxf>
    <dxf>
      <alignment horizontal="left"/>
    </dxf>
    <dxf>
      <alignment horizontal="center"/>
    </dxf>
    <dxf>
      <alignment horizontal="center"/>
    </dxf>
    <dxf>
      <numFmt numFmtId="1" formatCode="0"/>
    </dxf>
    <dxf>
      <alignment horizontal="left"/>
    </dxf>
    <dxf>
      <numFmt numFmtId="1" formatCode="0"/>
    </dxf>
    <dxf>
      <alignment horizontal="center"/>
    </dxf>
    <dxf>
      <alignment horizontal="center"/>
    </dxf>
    <dxf>
      <numFmt numFmtId="1" formatCode="0"/>
    </dxf>
    <dxf>
      <numFmt numFmtId="1" formatCode="0"/>
    </dxf>
    <dxf>
      <numFmt numFmtId="1" formatCode="0"/>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9" formatCode="m/d/yyyy"/>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558E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[sales_dataset(AutoRecovered).xlsx]PROFIT ANALYSIS!PivotTable13</c:name>
    <c:fmtId val="8"/>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b="1">
                <a:solidFill>
                  <a:schemeClr val="tx1"/>
                </a:solidFill>
              </a:rPr>
              <a:t>PROFIT</a:t>
            </a:r>
            <a:r>
              <a:rPr lang="en-US" b="1" baseline="0">
                <a:solidFill>
                  <a:schemeClr val="tx1"/>
                </a:solidFill>
              </a:rPr>
              <a:t>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379593175853017E-2"/>
              <c:y val="5.74675561388159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037510936132984E-2"/>
              <c:y val="2.9019393409157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0471347331583553E-3"/>
              <c:y val="2.3463108778069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565190288713906"/>
              <c:y val="-1.05555555555555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40343394575678E-2"/>
              <c:y val="-5.6060804899387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379593175853017E-2"/>
              <c:y val="5.74675561388159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40343394575678E-2"/>
              <c:y val="-5.6060804899387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565190288713906"/>
              <c:y val="-1.05555555555555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0471347331583553E-3"/>
              <c:y val="2.3463108778069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037510936132984E-2"/>
              <c:y val="2.9019393409157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379593175853017E-2"/>
              <c:y val="5.746755613881598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40343394575678E-2"/>
              <c:y val="-5.606080489938757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58407214971389"/>
              <c:y val="-1.619640360243834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0471347331583553E-3"/>
              <c:y val="2.346310877806940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037510936132984E-2"/>
              <c:y val="2.90193934091571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'PROFIT ANALYSIS'!$G$19</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944-4AED-A92C-F72918F61B8F}"/>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944-4AED-A92C-F72918F61B8F}"/>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944-4AED-A92C-F72918F61B8F}"/>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944-4AED-A92C-F72918F61B8F}"/>
              </c:ext>
            </c:extLst>
          </c:dPt>
          <c:dPt>
            <c:idx val="4"/>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944-4AED-A92C-F72918F61B8F}"/>
              </c:ext>
            </c:extLst>
          </c:dPt>
          <c:dLbls>
            <c:dLbl>
              <c:idx val="0"/>
              <c:layout>
                <c:manualLayout>
                  <c:x val="1.6379593175853017E-2"/>
                  <c:y val="5.746755613881598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944-4AED-A92C-F72918F61B8F}"/>
                </c:ext>
              </c:extLst>
            </c:dLbl>
            <c:dLbl>
              <c:idx val="1"/>
              <c:layout>
                <c:manualLayout>
                  <c:x val="2.740343394575678E-2"/>
                  <c:y val="-5.6060804899387577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944-4AED-A92C-F72918F61B8F}"/>
                </c:ext>
              </c:extLst>
            </c:dLbl>
            <c:dLbl>
              <c:idx val="2"/>
              <c:layout>
                <c:manualLayout>
                  <c:x val="0.14758407214971389"/>
                  <c:y val="-1.6196403602438344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944-4AED-A92C-F72918F61B8F}"/>
                </c:ext>
              </c:extLst>
            </c:dLbl>
            <c:dLbl>
              <c:idx val="3"/>
              <c:layout>
                <c:manualLayout>
                  <c:x val="-9.0471347331583553E-3"/>
                  <c:y val="2.3463108778069407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944-4AED-A92C-F72918F61B8F}"/>
                </c:ext>
              </c:extLst>
            </c:dLbl>
            <c:dLbl>
              <c:idx val="4"/>
              <c:layout>
                <c:manualLayout>
                  <c:x val="1.3037510936132984E-2"/>
                  <c:y val="2.901939340915718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944-4AED-A92C-F72918F61B8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ANALYSIS'!$F$20:$F$25</c:f>
              <c:strCache>
                <c:ptCount val="5"/>
                <c:pt idx="0">
                  <c:v>Abuja</c:v>
                </c:pt>
                <c:pt idx="1">
                  <c:v>Ibadan</c:v>
                </c:pt>
                <c:pt idx="2">
                  <c:v>Kano</c:v>
                </c:pt>
                <c:pt idx="3">
                  <c:v>Lagos</c:v>
                </c:pt>
                <c:pt idx="4">
                  <c:v>Port Harcourt</c:v>
                </c:pt>
              </c:strCache>
            </c:strRef>
          </c:cat>
          <c:val>
            <c:numRef>
              <c:f>'PROFIT ANALYSIS'!$G$20:$G$25</c:f>
              <c:numCache>
                <c:formatCode>0</c:formatCode>
                <c:ptCount val="5"/>
                <c:pt idx="0">
                  <c:v>26849741.4246419</c:v>
                </c:pt>
                <c:pt idx="1">
                  <c:v>20731435.409124255</c:v>
                </c:pt>
                <c:pt idx="2">
                  <c:v>20194969.671735421</c:v>
                </c:pt>
                <c:pt idx="3">
                  <c:v>23636291.878254145</c:v>
                </c:pt>
                <c:pt idx="4">
                  <c:v>23312500.937216323</c:v>
                </c:pt>
              </c:numCache>
            </c:numRef>
          </c:val>
          <c:extLst>
            <c:ext xmlns:c16="http://schemas.microsoft.com/office/drawing/2014/chart" uri="{C3380CC4-5D6E-409C-BE32-E72D297353CC}">
              <c16:uniqueId val="{0000000A-8944-4AED-A92C-F72918F61B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ln w="9525" cap="flat" cmpd="sng" algn="ctr">
      <a:gradFill>
        <a:gsLst>
          <a:gs pos="6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[sales_dataset(AutoRecovered).xlsx]QUANTITY!PivotTable15</c:name>
    <c:fmtId val="1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QUANTITY</a:t>
            </a:r>
            <a:r>
              <a:rPr lang="en-US" b="1" baseline="0">
                <a:solidFill>
                  <a:schemeClr val="tx1"/>
                </a:solidFill>
              </a:rPr>
              <a:t> SOLD BY PRODUCT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QUANTITY!$C$18:$C$19</c:f>
              <c:strCache>
                <c:ptCount val="1"/>
                <c:pt idx="0">
                  <c:v>2024</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QUANTITY!$B$20:$B$25</c:f>
              <c:strCache>
                <c:ptCount val="5"/>
                <c:pt idx="0">
                  <c:v>Laptop</c:v>
                </c:pt>
                <c:pt idx="1">
                  <c:v>Monitor</c:v>
                </c:pt>
                <c:pt idx="2">
                  <c:v>Phone</c:v>
                </c:pt>
                <c:pt idx="3">
                  <c:v>Printer</c:v>
                </c:pt>
                <c:pt idx="4">
                  <c:v>Tablet</c:v>
                </c:pt>
              </c:strCache>
            </c:strRef>
          </c:cat>
          <c:val>
            <c:numRef>
              <c:f>QUANTITY!$C$20:$C$25</c:f>
              <c:numCache>
                <c:formatCode>General</c:formatCode>
                <c:ptCount val="5"/>
                <c:pt idx="0">
                  <c:v>366</c:v>
                </c:pt>
                <c:pt idx="1">
                  <c:v>280</c:v>
                </c:pt>
                <c:pt idx="2">
                  <c:v>284</c:v>
                </c:pt>
                <c:pt idx="3">
                  <c:v>265</c:v>
                </c:pt>
                <c:pt idx="4">
                  <c:v>355</c:v>
                </c:pt>
              </c:numCache>
            </c:numRef>
          </c:val>
          <c:extLst>
            <c:ext xmlns:c16="http://schemas.microsoft.com/office/drawing/2014/chart" uri="{C3380CC4-5D6E-409C-BE32-E72D297353CC}">
              <c16:uniqueId val="{00000000-3FE7-45E0-9E64-F1F01EE6DC2E}"/>
            </c:ext>
          </c:extLst>
        </c:ser>
        <c:dLbls>
          <c:showLegendKey val="0"/>
          <c:showVal val="1"/>
          <c:showCatName val="0"/>
          <c:showSerName val="0"/>
          <c:showPercent val="0"/>
          <c:showBubbleSize val="0"/>
        </c:dLbls>
        <c:gapWidth val="150"/>
        <c:shape val="box"/>
        <c:axId val="701322064"/>
        <c:axId val="701324584"/>
        <c:axId val="0"/>
      </c:bar3DChart>
      <c:catAx>
        <c:axId val="701322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701324584"/>
        <c:crosses val="autoZero"/>
        <c:auto val="1"/>
        <c:lblAlgn val="ctr"/>
        <c:lblOffset val="100"/>
        <c:noMultiLvlLbl val="0"/>
      </c:catAx>
      <c:valAx>
        <c:axId val="701324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70132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[sales_dataset(AutoRecovered).xlsx]PROFIT ANALYSIS!PivotTable5</c:name>
    <c:fmtId val="31"/>
  </c:pivotSource>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b="1"/>
              <a:t>MONTHLY REVENUE AND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325787117848752E-2"/>
              <c:y val="-0.125049790722805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ANALYSIS'!$G$29</c:f>
              <c:strCache>
                <c:ptCount val="1"/>
                <c:pt idx="0">
                  <c:v>Net_Revenue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730A-4B7F-A521-A2D3ED893F07}"/>
              </c:ext>
            </c:extLst>
          </c:dPt>
          <c:dLbls>
            <c:dLbl>
              <c:idx val="0"/>
              <c:layout>
                <c:manualLayout>
                  <c:x val="-7.7325787117848752E-2"/>
                  <c:y val="-0.12504979072280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0A-4B7F-A521-A2D3ED893F07}"/>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ANALYSIS'!$F$30:$F$42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ANALYSIS'!$G$30:$G$42</c:f>
              <c:numCache>
                <c:formatCode>0</c:formatCode>
                <c:ptCount val="12"/>
                <c:pt idx="0">
                  <c:v>34005110.810946897</c:v>
                </c:pt>
                <c:pt idx="1">
                  <c:v>34058556.472710803</c:v>
                </c:pt>
                <c:pt idx="2">
                  <c:v>28533026.044719767</c:v>
                </c:pt>
                <c:pt idx="3">
                  <c:v>48527492.281572178</c:v>
                </c:pt>
                <c:pt idx="4">
                  <c:v>34325054.391127042</c:v>
                </c:pt>
                <c:pt idx="5">
                  <c:v>11888774.712352859</c:v>
                </c:pt>
                <c:pt idx="6">
                  <c:v>43022059.67327518</c:v>
                </c:pt>
                <c:pt idx="7">
                  <c:v>20658433.146162454</c:v>
                </c:pt>
                <c:pt idx="8">
                  <c:v>32666766.733091816</c:v>
                </c:pt>
                <c:pt idx="9">
                  <c:v>36655361.421738222</c:v>
                </c:pt>
                <c:pt idx="10">
                  <c:v>53286899.369921915</c:v>
                </c:pt>
                <c:pt idx="11">
                  <c:v>26074962.510106288</c:v>
                </c:pt>
              </c:numCache>
            </c:numRef>
          </c:val>
          <c:smooth val="0"/>
          <c:extLst>
            <c:ext xmlns:c16="http://schemas.microsoft.com/office/drawing/2014/chart" uri="{C3380CC4-5D6E-409C-BE32-E72D297353CC}">
              <c16:uniqueId val="{00000000-730A-4B7F-A521-A2D3ED893F07}"/>
            </c:ext>
          </c:extLst>
        </c:ser>
        <c:ser>
          <c:idx val="1"/>
          <c:order val="1"/>
          <c:tx>
            <c:strRef>
              <c:f>'PROFIT ANALYSIS'!$H$29</c:f>
              <c:strCache>
                <c:ptCount val="1"/>
                <c:pt idx="0">
                  <c:v>Profit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ANALYSIS'!$F$30:$F$42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ANALYSIS'!$H$30:$H$42</c:f>
              <c:numCache>
                <c:formatCode>0</c:formatCode>
                <c:ptCount val="12"/>
                <c:pt idx="0">
                  <c:v>10115198.767817393</c:v>
                </c:pt>
                <c:pt idx="1">
                  <c:v>9278377.2337525971</c:v>
                </c:pt>
                <c:pt idx="2">
                  <c:v>8079538.5576195028</c:v>
                </c:pt>
                <c:pt idx="3">
                  <c:v>14303305.3334269</c:v>
                </c:pt>
                <c:pt idx="4">
                  <c:v>8696745.2454118114</c:v>
                </c:pt>
                <c:pt idx="5">
                  <c:v>4326845.4294651356</c:v>
                </c:pt>
                <c:pt idx="6">
                  <c:v>10596717.819817135</c:v>
                </c:pt>
                <c:pt idx="7">
                  <c:v>6401523.7594764624</c:v>
                </c:pt>
                <c:pt idx="8">
                  <c:v>7831966.2205001675</c:v>
                </c:pt>
                <c:pt idx="9">
                  <c:v>11168815.709252726</c:v>
                </c:pt>
                <c:pt idx="10">
                  <c:v>15080339.217491988</c:v>
                </c:pt>
                <c:pt idx="11">
                  <c:v>8845566.026940221</c:v>
                </c:pt>
              </c:numCache>
            </c:numRef>
          </c:val>
          <c:smooth val="0"/>
          <c:extLst>
            <c:ext xmlns:c16="http://schemas.microsoft.com/office/drawing/2014/chart" uri="{C3380CC4-5D6E-409C-BE32-E72D297353CC}">
              <c16:uniqueId val="{00000001-730A-4B7F-A521-A2D3ED893F07}"/>
            </c:ext>
          </c:extLst>
        </c:ser>
        <c:dLbls>
          <c:showLegendKey val="0"/>
          <c:showVal val="0"/>
          <c:showCatName val="0"/>
          <c:showSerName val="0"/>
          <c:showPercent val="0"/>
          <c:showBubbleSize val="0"/>
        </c:dLbls>
        <c:marker val="1"/>
        <c:smooth val="0"/>
        <c:axId val="428550600"/>
        <c:axId val="428557080"/>
      </c:lineChart>
      <c:catAx>
        <c:axId val="428550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428557080"/>
        <c:crosses val="autoZero"/>
        <c:auto val="1"/>
        <c:lblAlgn val="ctr"/>
        <c:lblOffset val="100"/>
        <c:noMultiLvlLbl val="0"/>
      </c:catAx>
      <c:valAx>
        <c:axId val="4285570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428550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[sales_dataset(AutoRecovered).xlsx]SALES ANALYSIS!PivotTable45</c:name>
    <c:fmtId val="21"/>
  </c:pivotSource>
  <c:chart>
    <c:title>
      <c:tx>
        <c:rich>
          <a:bodyPr rot="0" spcFirstLastPara="1" vertOverflow="ellipsis" vert="horz" wrap="square" anchor="ctr" anchorCtr="1"/>
          <a:lstStyle/>
          <a:p>
            <a:pPr>
              <a:defRPr sz="1400" b="1" i="0" u="none" strike="noStrike" kern="1200" cap="all" spc="50" baseline="0">
                <a:solidFill>
                  <a:sysClr val="windowText" lastClr="000000"/>
                </a:solidFill>
                <a:effectLst>
                  <a:innerShdw blurRad="114300">
                    <a:prstClr val="black"/>
                  </a:innerShdw>
                </a:effectLst>
                <a:latin typeface="+mn-lt"/>
                <a:ea typeface="+mn-ea"/>
                <a:cs typeface="+mn-cs"/>
              </a:defRPr>
            </a:pPr>
            <a:r>
              <a:rPr lang="en-US" b="1">
                <a:solidFill>
                  <a:sysClr val="windowText" lastClr="000000"/>
                </a:solidFill>
              </a:rPr>
              <a:t>TOP FIVE CUSTOMERS BY % CONTIBUTED</a:t>
            </a:r>
            <a:r>
              <a:rPr lang="en-US" b="1" baseline="0">
                <a:solidFill>
                  <a:sysClr val="windowText" lastClr="000000"/>
                </a:solidFill>
              </a:rPr>
              <a:t> TO TOTAL REVENUE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ysClr val="windowText" lastClr="000000"/>
              </a:solidFill>
              <a:effectLst>
                <a:innerShdw blurRad="114300">
                  <a:prstClr val="black"/>
                </a:innerShdw>
              </a:effectLst>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effectLst>
                    <a:innerShdw blurRad="114300">
                      <a:prstClr val="black"/>
                    </a:inn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effectLst>
                    <a:innerShdw blurRad="114300">
                      <a:prstClr val="black"/>
                    </a:inn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effectLst>
                    <a:innerShdw blurRad="114300">
                      <a:prstClr val="black"/>
                    </a:inn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9016575786294813"/>
          <c:y val="0.2728117097840887"/>
          <c:w val="0.3121285394425623"/>
          <c:h val="0.61208510901663982"/>
        </c:manualLayout>
      </c:layout>
      <c:doughnutChart>
        <c:varyColors val="1"/>
        <c:ser>
          <c:idx val="0"/>
          <c:order val="0"/>
          <c:tx>
            <c:strRef>
              <c:f>'SALES ANALYSIS'!$H$22:$H$23</c:f>
              <c:strCache>
                <c:ptCount val="1"/>
                <c:pt idx="0">
                  <c:v>2024</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394-41EE-894C-80128D265F4F}"/>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394-41EE-894C-80128D265F4F}"/>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394-41EE-894C-80128D265F4F}"/>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394-41EE-894C-80128D265F4F}"/>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394-41EE-894C-80128D265F4F}"/>
              </c:ext>
            </c:extLst>
          </c:dPt>
          <c:dLbls>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effectLst>
                      <a:innerShdw blurRad="114300">
                        <a:prstClr val="black"/>
                      </a:innerShdw>
                    </a:effectLst>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ANALYSIS'!$G$24:$G$29</c:f>
              <c:strCache>
                <c:ptCount val="5"/>
                <c:pt idx="0">
                  <c:v>Jane</c:v>
                </c:pt>
                <c:pt idx="1">
                  <c:v>David</c:v>
                </c:pt>
                <c:pt idx="2">
                  <c:v>Mary</c:v>
                </c:pt>
                <c:pt idx="3">
                  <c:v>Grace</c:v>
                </c:pt>
                <c:pt idx="4">
                  <c:v>John</c:v>
                </c:pt>
              </c:strCache>
            </c:strRef>
          </c:cat>
          <c:val>
            <c:numRef>
              <c:f>'SALES ANALYSIS'!$H$24:$H$29</c:f>
              <c:numCache>
                <c:formatCode>0</c:formatCode>
                <c:ptCount val="5"/>
                <c:pt idx="0">
                  <c:v>82623704.063433424</c:v>
                </c:pt>
                <c:pt idx="1">
                  <c:v>75438536.785400182</c:v>
                </c:pt>
                <c:pt idx="2">
                  <c:v>73377437.6644485</c:v>
                </c:pt>
                <c:pt idx="3">
                  <c:v>62818362.563717492</c:v>
                </c:pt>
                <c:pt idx="4">
                  <c:v>56498235.776784152</c:v>
                </c:pt>
              </c:numCache>
            </c:numRef>
          </c:val>
          <c:extLst>
            <c:ext xmlns:c16="http://schemas.microsoft.com/office/drawing/2014/chart" uri="{C3380CC4-5D6E-409C-BE32-E72D297353CC}">
              <c16:uniqueId val="{0000000A-C394-41EE-894C-80128D265F4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effectLst>
                <a:innerShdw blurRad="114300">
                  <a:prstClr val="black"/>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a:glow rad="139700">
        <a:schemeClr val="accent6">
          <a:satMod val="175000"/>
          <a:alpha val="40000"/>
        </a:schemeClr>
      </a:glow>
    </a:effectLst>
    <a:scene3d>
      <a:camera prst="orthographicFront"/>
      <a:lightRig rig="threePt" dir="t"/>
    </a:scene3d>
    <a:sp3d prstMaterial="matte">
      <a:bevelT w="127000" h="63500"/>
    </a:sp3d>
  </c:spPr>
  <c:txPr>
    <a:bodyPr/>
    <a:lstStyle/>
    <a:p>
      <a:pPr>
        <a:defRPr>
          <a:solidFill>
            <a:schemeClr val="bg1"/>
          </a:solidFill>
          <a:effectLst>
            <a:innerShdw blurRad="114300">
              <a:prstClr val="black"/>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[sales_dataset(AutoRecovered).xlsx]ORDERS!PivotTable47</c:name>
    <c:fmtId val="24"/>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b="1">
                <a:solidFill>
                  <a:sysClr val="windowText" lastClr="000000"/>
                </a:solidFill>
              </a:rPr>
              <a:t>NUMBER</a:t>
            </a:r>
            <a:r>
              <a:rPr lang="en-US" sz="1400" b="1" baseline="0">
                <a:solidFill>
                  <a:sysClr val="windowText" lastClr="000000"/>
                </a:solidFill>
              </a:rPr>
              <a:t> OF ORDERS BY REGION</a:t>
            </a:r>
            <a:endParaRPr lang="en-US"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ORDERS!$J$27:$J$28</c:f>
              <c:strCache>
                <c:ptCount val="1"/>
                <c:pt idx="0">
                  <c:v>2024</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ORDERS!$I$29:$I$34</c:f>
              <c:strCache>
                <c:ptCount val="5"/>
                <c:pt idx="0">
                  <c:v>Abuja</c:v>
                </c:pt>
                <c:pt idx="1">
                  <c:v>Ibadan</c:v>
                </c:pt>
                <c:pt idx="2">
                  <c:v>Kano</c:v>
                </c:pt>
                <c:pt idx="3">
                  <c:v>Lagos</c:v>
                </c:pt>
                <c:pt idx="4">
                  <c:v>Port Harcourt</c:v>
                </c:pt>
              </c:strCache>
            </c:strRef>
          </c:cat>
          <c:val>
            <c:numRef>
              <c:f>ORDERS!$J$29:$J$34</c:f>
              <c:numCache>
                <c:formatCode>General</c:formatCode>
                <c:ptCount val="5"/>
                <c:pt idx="0">
                  <c:v>71</c:v>
                </c:pt>
                <c:pt idx="1">
                  <c:v>57</c:v>
                </c:pt>
                <c:pt idx="2">
                  <c:v>50</c:v>
                </c:pt>
                <c:pt idx="3">
                  <c:v>65</c:v>
                </c:pt>
                <c:pt idx="4">
                  <c:v>68</c:v>
                </c:pt>
              </c:numCache>
            </c:numRef>
          </c:val>
          <c:extLst>
            <c:ext xmlns:c16="http://schemas.microsoft.com/office/drawing/2014/chart" uri="{C3380CC4-5D6E-409C-BE32-E72D297353CC}">
              <c16:uniqueId val="{00000000-6D1C-467F-8738-0FD23A2EC2E8}"/>
            </c:ext>
          </c:extLst>
        </c:ser>
        <c:dLbls>
          <c:dLblPos val="outEnd"/>
          <c:showLegendKey val="0"/>
          <c:showVal val="1"/>
          <c:showCatName val="0"/>
          <c:showSerName val="0"/>
          <c:showPercent val="0"/>
          <c:showBubbleSize val="0"/>
        </c:dLbls>
        <c:gapWidth val="115"/>
        <c:overlap val="-20"/>
        <c:axId val="1209764064"/>
        <c:axId val="1209752904"/>
      </c:barChart>
      <c:catAx>
        <c:axId val="12097640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209752904"/>
        <c:crosses val="autoZero"/>
        <c:auto val="1"/>
        <c:lblAlgn val="ctr"/>
        <c:lblOffset val="100"/>
        <c:noMultiLvlLbl val="0"/>
      </c:catAx>
      <c:valAx>
        <c:axId val="1209752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0976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0"/>
            <a:lumOff val="100000"/>
          </a:schemeClr>
        </a:gs>
        <a:gs pos="24000">
          <a:schemeClr val="accent6">
            <a:lumMod val="0"/>
            <a:lumOff val="100000"/>
          </a:schemeClr>
        </a:gs>
        <a:gs pos="100000">
          <a:schemeClr val="accent6">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[sales_dataset(AutoRecovered).xlsx]SALES ANALYSIS!PivotTable21</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a:t>
            </a:r>
            <a:r>
              <a:rPr lang="en-US" b="1" baseline="0">
                <a:solidFill>
                  <a:schemeClr val="tx1"/>
                </a:solidFill>
              </a:rPr>
              <a:t> BY PRODUCT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5.7704912073844108E-3"/>
              <c:y val="-9.7142857142857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5.7704912073843059E-3"/>
              <c:y val="-0.0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5.7704912073844108E-3"/>
              <c:y val="-9.7142857142857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5.7704912073843059E-3"/>
              <c:y val="-0.0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5.7704912073844108E-3"/>
              <c:y val="-9.7142857142857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5.7704912073843059E-3"/>
              <c:y val="-0.0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ANALYSIS'!$B$44:$B$45</c:f>
              <c:strCache>
                <c:ptCount val="1"/>
                <c:pt idx="0">
                  <c:v>2024</c:v>
                </c:pt>
              </c:strCache>
            </c:strRef>
          </c:tx>
          <c:spPr>
            <a:solidFill>
              <a:schemeClr val="accent1"/>
            </a:solidFill>
            <a:ln>
              <a:noFill/>
            </a:ln>
            <a:effectLst/>
            <a:sp3d/>
          </c:spPr>
          <c:invertIfNegative val="0"/>
          <c:dPt>
            <c:idx val="2"/>
            <c:invertIfNegative val="0"/>
            <c:bubble3D val="0"/>
            <c:spPr>
              <a:solidFill>
                <a:schemeClr val="accent1"/>
              </a:solidFill>
              <a:ln>
                <a:noFill/>
              </a:ln>
              <a:effectLst/>
              <a:sp3d/>
            </c:spPr>
            <c:extLst>
              <c:ext xmlns:c16="http://schemas.microsoft.com/office/drawing/2014/chart" uri="{C3380CC4-5D6E-409C-BE32-E72D297353CC}">
                <c16:uniqueId val="{00000001-BE61-4511-98D8-B7D5EB39A91D}"/>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3-BE61-4511-98D8-B7D5EB39A91D}"/>
              </c:ext>
            </c:extLst>
          </c:dPt>
          <c:dLbls>
            <c:dLbl>
              <c:idx val="2"/>
              <c:layout>
                <c:manualLayout>
                  <c:x val="5.7704912073844108E-3"/>
                  <c:y val="-9.7142857142857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61-4511-98D8-B7D5EB39A91D}"/>
                </c:ext>
              </c:extLst>
            </c:dLbl>
            <c:dLbl>
              <c:idx val="4"/>
              <c:layout>
                <c:manualLayout>
                  <c:x val="5.7704912073843059E-3"/>
                  <c:y val="-0.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61-4511-98D8-B7D5EB39A91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ANALYSIS'!$A$46:$A$51</c:f>
              <c:strCache>
                <c:ptCount val="5"/>
                <c:pt idx="0">
                  <c:v>Laptop</c:v>
                </c:pt>
                <c:pt idx="1">
                  <c:v>Monitor</c:v>
                </c:pt>
                <c:pt idx="2">
                  <c:v>Phone</c:v>
                </c:pt>
                <c:pt idx="3">
                  <c:v>Printer</c:v>
                </c:pt>
                <c:pt idx="4">
                  <c:v>Tablet</c:v>
                </c:pt>
              </c:strCache>
            </c:strRef>
          </c:cat>
          <c:val>
            <c:numRef>
              <c:f>'SALES ANALYSIS'!$B$46:$B$51</c:f>
              <c:numCache>
                <c:formatCode>0</c:formatCode>
                <c:ptCount val="5"/>
                <c:pt idx="0">
                  <c:v>92300928.093072832</c:v>
                </c:pt>
                <c:pt idx="1">
                  <c:v>72060102.915042788</c:v>
                </c:pt>
                <c:pt idx="2">
                  <c:v>74536857.644452482</c:v>
                </c:pt>
                <c:pt idx="3">
                  <c:v>71916735.817499787</c:v>
                </c:pt>
                <c:pt idx="4">
                  <c:v>92887873.097657531</c:v>
                </c:pt>
              </c:numCache>
            </c:numRef>
          </c:val>
          <c:extLst>
            <c:ext xmlns:c16="http://schemas.microsoft.com/office/drawing/2014/chart" uri="{C3380CC4-5D6E-409C-BE32-E72D297353CC}">
              <c16:uniqueId val="{00000004-BE61-4511-98D8-B7D5EB39A91D}"/>
            </c:ext>
          </c:extLst>
        </c:ser>
        <c:dLbls>
          <c:showLegendKey val="0"/>
          <c:showVal val="1"/>
          <c:showCatName val="0"/>
          <c:showSerName val="0"/>
          <c:showPercent val="0"/>
          <c:showBubbleSize val="0"/>
        </c:dLbls>
        <c:gapWidth val="150"/>
        <c:shape val="box"/>
        <c:axId val="1195165344"/>
        <c:axId val="1195159584"/>
        <c:axId val="0"/>
      </c:bar3DChart>
      <c:catAx>
        <c:axId val="1195165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95159584"/>
        <c:crosses val="autoZero"/>
        <c:auto val="1"/>
        <c:lblAlgn val="ctr"/>
        <c:lblOffset val="100"/>
        <c:noMultiLvlLbl val="0"/>
      </c:catAx>
      <c:valAx>
        <c:axId val="11951595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516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[sales_dataset(AutoRecovered).xlsx]SALES ANALYSIS!PivotTable25</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a:sp3d/>
        </c:spPr>
        <c:dLbl>
          <c:idx val="0"/>
          <c:layout>
            <c:manualLayout>
              <c:x val="3.6680957650712415E-2"/>
              <c:y val="-5.36121502862551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a:sp3d/>
        </c:spPr>
        <c:dLbl>
          <c:idx val="0"/>
          <c:layout>
            <c:manualLayout>
              <c:x val="1.6929672761867215E-2"/>
              <c:y val="-7.50570104007571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a:sp3d/>
        </c:spPr>
        <c:dLbl>
          <c:idx val="0"/>
          <c:layout>
            <c:manualLayout>
              <c:x val="3.6680957650712415E-2"/>
              <c:y val="-3.75285052003785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marker>
          <c:symbol val="none"/>
        </c:marker>
      </c:pivotFmt>
      <c:pivotFmt>
        <c:idx val="14"/>
        <c:spPr>
          <a:solidFill>
            <a:schemeClr val="accent6"/>
          </a:solidFill>
          <a:ln>
            <a:noFill/>
          </a:ln>
          <a:effectLst/>
          <a:sp3d/>
        </c:spPr>
        <c:dLbl>
          <c:idx val="0"/>
          <c:layout>
            <c:manualLayout>
              <c:x val="-1.410806063488944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dLbl>
          <c:idx val="0"/>
          <c:layout>
            <c:manualLayout>
              <c:x val="-1.6929672761867267E-2"/>
              <c:y val="2.14448601145020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546524273751481E-2"/>
          <c:y val="0.15059653015409064"/>
          <c:w val="0.86169679311562186"/>
          <c:h val="0.66613941016503253"/>
        </c:manualLayout>
      </c:layout>
      <c:bar3DChart>
        <c:barDir val="col"/>
        <c:grouping val="clustered"/>
        <c:varyColors val="0"/>
        <c:ser>
          <c:idx val="0"/>
          <c:order val="0"/>
          <c:tx>
            <c:strRef>
              <c:f>'SALES ANALYSIS'!$B$33:$B$34</c:f>
              <c:strCache>
                <c:ptCount val="1"/>
                <c:pt idx="0">
                  <c:v>2023</c:v>
                </c:pt>
              </c:strCache>
            </c:strRef>
          </c:tx>
          <c:spPr>
            <a:solidFill>
              <a:schemeClr val="accent6"/>
            </a:solidFill>
            <a:ln>
              <a:noFill/>
            </a:ln>
            <a:effectLst/>
            <a:sp3d/>
          </c:spPr>
          <c:invertIfNegative val="0"/>
          <c:dPt>
            <c:idx val="2"/>
            <c:invertIfNegative val="0"/>
            <c:bubble3D val="0"/>
            <c:spPr>
              <a:solidFill>
                <a:schemeClr val="accent6"/>
              </a:solidFill>
              <a:ln>
                <a:noFill/>
              </a:ln>
              <a:effectLst/>
              <a:sp3d/>
            </c:spPr>
            <c:extLst>
              <c:ext xmlns:c16="http://schemas.microsoft.com/office/drawing/2014/chart" uri="{C3380CC4-5D6E-409C-BE32-E72D297353CC}">
                <c16:uniqueId val="{00000006-DA7D-4BB3-80C5-4F20A56C1424}"/>
              </c:ext>
            </c:extLst>
          </c:dPt>
          <c:dPt>
            <c:idx val="4"/>
            <c:invertIfNegative val="0"/>
            <c:bubble3D val="0"/>
            <c:spPr>
              <a:solidFill>
                <a:schemeClr val="accent6"/>
              </a:solidFill>
              <a:ln>
                <a:noFill/>
              </a:ln>
              <a:effectLst/>
              <a:sp3d/>
            </c:spPr>
            <c:extLst>
              <c:ext xmlns:c16="http://schemas.microsoft.com/office/drawing/2014/chart" uri="{C3380CC4-5D6E-409C-BE32-E72D297353CC}">
                <c16:uniqueId val="{00000009-DA7D-4BB3-80C5-4F20A56C1424}"/>
              </c:ext>
            </c:extLst>
          </c:dPt>
          <c:dLbls>
            <c:dLbl>
              <c:idx val="2"/>
              <c:layout>
                <c:manualLayout>
                  <c:x val="-1.410806063488944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A7D-4BB3-80C5-4F20A56C1424}"/>
                </c:ext>
              </c:extLst>
            </c:dLbl>
            <c:dLbl>
              <c:idx val="4"/>
              <c:layout>
                <c:manualLayout>
                  <c:x val="-1.6929672761867267E-2"/>
                  <c:y val="2.14448601145020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A7D-4BB3-80C5-4F20A56C14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ANALYSIS'!$A$35:$A$40</c:f>
              <c:strCache>
                <c:ptCount val="5"/>
                <c:pt idx="0">
                  <c:v>Abuja</c:v>
                </c:pt>
                <c:pt idx="1">
                  <c:v>Ibadan</c:v>
                </c:pt>
                <c:pt idx="2">
                  <c:v>Kano</c:v>
                </c:pt>
                <c:pt idx="3">
                  <c:v>Lagos</c:v>
                </c:pt>
                <c:pt idx="4">
                  <c:v>Port Harcourt</c:v>
                </c:pt>
              </c:strCache>
            </c:strRef>
          </c:cat>
          <c:val>
            <c:numRef>
              <c:f>'SALES ANALYSIS'!$B$35:$B$40</c:f>
              <c:numCache>
                <c:formatCode>0</c:formatCode>
                <c:ptCount val="5"/>
                <c:pt idx="0">
                  <c:v>70549817.939857528</c:v>
                </c:pt>
                <c:pt idx="1">
                  <c:v>79305347.480691701</c:v>
                </c:pt>
                <c:pt idx="2">
                  <c:v>66529830.501810111</c:v>
                </c:pt>
                <c:pt idx="3">
                  <c:v>60265744.32571312</c:v>
                </c:pt>
                <c:pt idx="4">
                  <c:v>77613113.332745224</c:v>
                </c:pt>
              </c:numCache>
            </c:numRef>
          </c:val>
          <c:extLst>
            <c:ext xmlns:c16="http://schemas.microsoft.com/office/drawing/2014/chart" uri="{C3380CC4-5D6E-409C-BE32-E72D297353CC}">
              <c16:uniqueId val="{00000000-DB22-4311-A81B-D7DC99296437}"/>
            </c:ext>
          </c:extLst>
        </c:ser>
        <c:ser>
          <c:idx val="1"/>
          <c:order val="1"/>
          <c:tx>
            <c:strRef>
              <c:f>'SALES ANALYSIS'!$C$33:$C$34</c:f>
              <c:strCache>
                <c:ptCount val="1"/>
                <c:pt idx="0">
                  <c:v>2024</c:v>
                </c:pt>
              </c:strCache>
            </c:strRef>
          </c:tx>
          <c:spPr>
            <a:solidFill>
              <a:schemeClr val="accent5"/>
            </a:solidFill>
            <a:ln>
              <a:noFill/>
            </a:ln>
            <a:effectLst/>
            <a:sp3d/>
          </c:spPr>
          <c:invertIfNegative val="0"/>
          <c:dPt>
            <c:idx val="1"/>
            <c:invertIfNegative val="0"/>
            <c:bubble3D val="0"/>
            <c:spPr>
              <a:solidFill>
                <a:schemeClr val="accent5"/>
              </a:solidFill>
              <a:ln>
                <a:noFill/>
              </a:ln>
              <a:effectLst/>
              <a:sp3d/>
            </c:spPr>
            <c:extLst>
              <c:ext xmlns:c16="http://schemas.microsoft.com/office/drawing/2014/chart" uri="{C3380CC4-5D6E-409C-BE32-E72D297353CC}">
                <c16:uniqueId val="{00000007-DA7D-4BB3-80C5-4F20A56C1424}"/>
              </c:ext>
            </c:extLst>
          </c:dPt>
          <c:dPt>
            <c:idx val="2"/>
            <c:invertIfNegative val="0"/>
            <c:bubble3D val="0"/>
            <c:spPr>
              <a:solidFill>
                <a:schemeClr val="accent5"/>
              </a:solidFill>
              <a:ln>
                <a:noFill/>
              </a:ln>
              <a:effectLst/>
              <a:sp3d/>
            </c:spPr>
            <c:extLst>
              <c:ext xmlns:c16="http://schemas.microsoft.com/office/drawing/2014/chart" uri="{C3380CC4-5D6E-409C-BE32-E72D297353CC}">
                <c16:uniqueId val="{00000005-DA7D-4BB3-80C5-4F20A56C1424}"/>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8-DA7D-4BB3-80C5-4F20A56C1424}"/>
              </c:ext>
            </c:extLst>
          </c:dPt>
          <c:dLbls>
            <c:dLbl>
              <c:idx val="1"/>
              <c:layout>
                <c:manualLayout>
                  <c:x val="3.6680957650712415E-2"/>
                  <c:y val="-3.7528505200378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A7D-4BB3-80C5-4F20A56C1424}"/>
                </c:ext>
              </c:extLst>
            </c:dLbl>
            <c:dLbl>
              <c:idx val="2"/>
              <c:layout>
                <c:manualLayout>
                  <c:x val="1.6929672761867215E-2"/>
                  <c:y val="-7.5057010400757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A7D-4BB3-80C5-4F20A56C1424}"/>
                </c:ext>
              </c:extLst>
            </c:dLbl>
            <c:dLbl>
              <c:idx val="4"/>
              <c:layout>
                <c:manualLayout>
                  <c:x val="3.6680957650712415E-2"/>
                  <c:y val="-5.36121502862551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A7D-4BB3-80C5-4F20A56C14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ANALYSIS'!$A$35:$A$40</c:f>
              <c:strCache>
                <c:ptCount val="5"/>
                <c:pt idx="0">
                  <c:v>Abuja</c:v>
                </c:pt>
                <c:pt idx="1">
                  <c:v>Ibadan</c:v>
                </c:pt>
                <c:pt idx="2">
                  <c:v>Kano</c:v>
                </c:pt>
                <c:pt idx="3">
                  <c:v>Lagos</c:v>
                </c:pt>
                <c:pt idx="4">
                  <c:v>Port Harcourt</c:v>
                </c:pt>
              </c:strCache>
            </c:strRef>
          </c:cat>
          <c:val>
            <c:numRef>
              <c:f>'SALES ANALYSIS'!$C$35:$C$40</c:f>
              <c:numCache>
                <c:formatCode>0</c:formatCode>
                <c:ptCount val="5"/>
                <c:pt idx="0">
                  <c:v>92624518.149017274</c:v>
                </c:pt>
                <c:pt idx="1">
                  <c:v>80155754.4424261</c:v>
                </c:pt>
                <c:pt idx="2">
                  <c:v>63370689.197618499</c:v>
                </c:pt>
                <c:pt idx="3">
                  <c:v>83186687.04606387</c:v>
                </c:pt>
                <c:pt idx="4">
                  <c:v>84364848.732599676</c:v>
                </c:pt>
              </c:numCache>
            </c:numRef>
          </c:val>
          <c:extLst>
            <c:ext xmlns:c16="http://schemas.microsoft.com/office/drawing/2014/chart" uri="{C3380CC4-5D6E-409C-BE32-E72D297353CC}">
              <c16:uniqueId val="{00000003-DA7D-4BB3-80C5-4F20A56C1424}"/>
            </c:ext>
          </c:extLst>
        </c:ser>
        <c:dLbls>
          <c:showLegendKey val="0"/>
          <c:showVal val="1"/>
          <c:showCatName val="0"/>
          <c:showSerName val="0"/>
          <c:showPercent val="0"/>
          <c:showBubbleSize val="0"/>
        </c:dLbls>
        <c:gapWidth val="150"/>
        <c:shape val="box"/>
        <c:axId val="758052408"/>
        <c:axId val="758048448"/>
        <c:axId val="0"/>
      </c:bar3DChart>
      <c:catAx>
        <c:axId val="758052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48448"/>
        <c:crosses val="autoZero"/>
        <c:auto val="1"/>
        <c:lblAlgn val="ctr"/>
        <c:lblOffset val="100"/>
        <c:noMultiLvlLbl val="0"/>
      </c:catAx>
      <c:valAx>
        <c:axId val="758048448"/>
        <c:scaling>
          <c:orientation val="minMax"/>
        </c:scaling>
        <c:delete val="1"/>
        <c:axPos val="l"/>
        <c:numFmt formatCode="0" sourceLinked="1"/>
        <c:majorTickMark val="none"/>
        <c:minorTickMark val="none"/>
        <c:tickLblPos val="nextTo"/>
        <c:crossAx val="758052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[sales_dataset(AutoRecovered).xlsx]PROFIT ANALYSIS!PivotTable36</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MARGIN BY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3.8285428907266023E-2"/>
              <c:y val="-9.237434285690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0930356352949115E-2"/>
              <c:y val="1.8511733583670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3.2995574015899649E-2"/>
              <c:y val="4.3153083903797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0930356352949213E-2"/>
              <c:y val="4.31530839037976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3.8285428907266023E-2"/>
              <c:y val="-9.237434285690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0930356352949115E-2"/>
              <c:y val="1.8511733583670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0930356352949213E-2"/>
              <c:y val="4.31530839037976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3.2995574015899649E-2"/>
              <c:y val="4.3153083903797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3.8285428907266023E-2"/>
              <c:y val="-9.237434285690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0930356352949115E-2"/>
              <c:y val="1.8511733583670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0930356352949213E-2"/>
              <c:y val="4.31530839037976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3.2995574015899649E-2"/>
              <c:y val="4.3153083903797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3.8285428907266023E-2"/>
              <c:y val="-9.237434285690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0930356352949115E-2"/>
              <c:y val="1.8511733583670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0930356352949213E-2"/>
              <c:y val="4.31530839037976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3.2995574015899649E-2"/>
              <c:y val="4.3153083903797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8285428907266023E-2"/>
              <c:y val="-9.237434285690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4.0930356352949115E-2"/>
              <c:y val="1.8511733583670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4.0930356352949213E-2"/>
              <c:y val="4.31530839037976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3.2995574015899649E-2"/>
              <c:y val="4.3153083903797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ANALYSIS'!$B$23:$B$24</c:f>
              <c:strCache>
                <c:ptCount val="1"/>
                <c:pt idx="0">
                  <c:v>2023</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4"/>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0-3D40-413E-94C2-A12515B9CBCA}"/>
              </c:ext>
            </c:extLst>
          </c:dPt>
          <c:dLbls>
            <c:dLbl>
              <c:idx val="4"/>
              <c:layout>
                <c:manualLayout>
                  <c:x val="-3.8285428907266023E-2"/>
                  <c:y val="-9.23743428569026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40-413E-94C2-A12515B9CB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ANALYSIS'!$A$25:$A$30</c:f>
              <c:strCache>
                <c:ptCount val="5"/>
                <c:pt idx="0">
                  <c:v>Laptop</c:v>
                </c:pt>
                <c:pt idx="1">
                  <c:v>Monitor</c:v>
                </c:pt>
                <c:pt idx="2">
                  <c:v>Phone</c:v>
                </c:pt>
                <c:pt idx="3">
                  <c:v>Printer</c:v>
                </c:pt>
                <c:pt idx="4">
                  <c:v>Tablet</c:v>
                </c:pt>
              </c:strCache>
            </c:strRef>
          </c:cat>
          <c:val>
            <c:numRef>
              <c:f>'PROFIT ANALYSIS'!$B$25:$B$30</c:f>
              <c:numCache>
                <c:formatCode>0.00</c:formatCode>
                <c:ptCount val="5"/>
                <c:pt idx="0">
                  <c:v>0.26757161103846244</c:v>
                </c:pt>
                <c:pt idx="1">
                  <c:v>0.28218813219556427</c:v>
                </c:pt>
                <c:pt idx="2">
                  <c:v>0.29924589261941631</c:v>
                </c:pt>
                <c:pt idx="3">
                  <c:v>0.27795075799088143</c:v>
                </c:pt>
                <c:pt idx="4">
                  <c:v>0.29013725507814558</c:v>
                </c:pt>
              </c:numCache>
            </c:numRef>
          </c:val>
          <c:smooth val="0"/>
          <c:extLst>
            <c:ext xmlns:c16="http://schemas.microsoft.com/office/drawing/2014/chart" uri="{C3380CC4-5D6E-409C-BE32-E72D297353CC}">
              <c16:uniqueId val="{00000001-3D40-413E-94C2-A12515B9CBCA}"/>
            </c:ext>
          </c:extLst>
        </c:ser>
        <c:ser>
          <c:idx val="1"/>
          <c:order val="1"/>
          <c:tx>
            <c:strRef>
              <c:f>'PROFIT ANALYSIS'!$C$23:$C$24</c:f>
              <c:strCache>
                <c:ptCount val="1"/>
                <c:pt idx="0">
                  <c:v>2024</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Pt>
            <c:idx val="0"/>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3-10AD-4EC0-A589-E5668B02ED12}"/>
              </c:ext>
            </c:extLst>
          </c:dPt>
          <c:dPt>
            <c:idx val="3"/>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5-10AD-4EC0-A589-E5668B02ED12}"/>
              </c:ext>
            </c:extLst>
          </c:dPt>
          <c:dPt>
            <c:idx val="4"/>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7-10AD-4EC0-A589-E5668B02ED12}"/>
              </c:ext>
            </c:extLst>
          </c:dPt>
          <c:dLbls>
            <c:dLbl>
              <c:idx val="0"/>
              <c:layout>
                <c:manualLayout>
                  <c:x val="-4.0930356352949115E-2"/>
                  <c:y val="1.85117335836704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AD-4EC0-A589-E5668B02ED12}"/>
                </c:ext>
              </c:extLst>
            </c:dLbl>
            <c:dLbl>
              <c:idx val="3"/>
              <c:layout>
                <c:manualLayout>
                  <c:x val="-4.0930356352949213E-2"/>
                  <c:y val="4.31530839037976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AD-4EC0-A589-E5668B02ED12}"/>
                </c:ext>
              </c:extLst>
            </c:dLbl>
            <c:dLbl>
              <c:idx val="4"/>
              <c:layout>
                <c:manualLayout>
                  <c:x val="-3.2995574015899649E-2"/>
                  <c:y val="4.31530839037978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0AD-4EC0-A589-E5668B02ED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ANALYSIS'!$A$25:$A$30</c:f>
              <c:strCache>
                <c:ptCount val="5"/>
                <c:pt idx="0">
                  <c:v>Laptop</c:v>
                </c:pt>
                <c:pt idx="1">
                  <c:v>Monitor</c:v>
                </c:pt>
                <c:pt idx="2">
                  <c:v>Phone</c:v>
                </c:pt>
                <c:pt idx="3">
                  <c:v>Printer</c:v>
                </c:pt>
                <c:pt idx="4">
                  <c:v>Tablet</c:v>
                </c:pt>
              </c:strCache>
            </c:strRef>
          </c:cat>
          <c:val>
            <c:numRef>
              <c:f>'PROFIT ANALYSIS'!$C$25:$C$30</c:f>
              <c:numCache>
                <c:formatCode>0.00</c:formatCode>
                <c:ptCount val="5"/>
                <c:pt idx="0">
                  <c:v>0.26431341243074313</c:v>
                </c:pt>
                <c:pt idx="1">
                  <c:v>0.31163302371741614</c:v>
                </c:pt>
                <c:pt idx="2">
                  <c:v>0.28098916659906847</c:v>
                </c:pt>
                <c:pt idx="3">
                  <c:v>0.27964908539949274</c:v>
                </c:pt>
                <c:pt idx="4">
                  <c:v>0.28870032744168544</c:v>
                </c:pt>
              </c:numCache>
            </c:numRef>
          </c:val>
          <c:smooth val="0"/>
          <c:extLst>
            <c:ext xmlns:c16="http://schemas.microsoft.com/office/drawing/2014/chart" uri="{C3380CC4-5D6E-409C-BE32-E72D297353CC}">
              <c16:uniqueId val="{00000005-7FC1-4ED6-B2A8-74F39B024C66}"/>
            </c:ext>
          </c:extLst>
        </c:ser>
        <c:dLbls>
          <c:dLblPos val="t"/>
          <c:showLegendKey val="0"/>
          <c:showVal val="1"/>
          <c:showCatName val="0"/>
          <c:showSerName val="0"/>
          <c:showPercent val="0"/>
          <c:showBubbleSize val="0"/>
        </c:dLbls>
        <c:marker val="1"/>
        <c:smooth val="0"/>
        <c:axId val="778727536"/>
        <c:axId val="778728256"/>
      </c:lineChart>
      <c:catAx>
        <c:axId val="77872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728256"/>
        <c:crosses val="autoZero"/>
        <c:auto val="1"/>
        <c:lblAlgn val="ctr"/>
        <c:lblOffset val="100"/>
        <c:noMultiLvlLbl val="0"/>
      </c:catAx>
      <c:valAx>
        <c:axId val="7787282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72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[sales_dataset(AutoRecovered).xlsx]QUANTITY!PivotTable14</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QUANTITY</a:t>
            </a:r>
            <a:r>
              <a:rPr lang="en-US" b="1" baseline="0"/>
              <a:t> ORDERED BY PRODUCT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a:sp3d/>
        </c:spPr>
        <c:dLbl>
          <c:idx val="0"/>
          <c:layout>
            <c:manualLayout>
              <c:x val="2.009074962225323E-2"/>
              <c:y val="-4.9667994311516769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a:sp3d/>
        </c:spPr>
        <c:dLbl>
          <c:idx val="0"/>
          <c:layout>
            <c:manualLayout>
              <c:x val="1.722064253335991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QUANTITY!$C$7:$C$8</c:f>
              <c:strCache>
                <c:ptCount val="1"/>
                <c:pt idx="0">
                  <c:v>2023</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QUANTITY!$B$9:$B$14</c:f>
              <c:strCache>
                <c:ptCount val="5"/>
                <c:pt idx="0">
                  <c:v>Laptop</c:v>
                </c:pt>
                <c:pt idx="1">
                  <c:v>Monitor</c:v>
                </c:pt>
                <c:pt idx="2">
                  <c:v>Phone</c:v>
                </c:pt>
                <c:pt idx="3">
                  <c:v>Printer</c:v>
                </c:pt>
                <c:pt idx="4">
                  <c:v>Tablet</c:v>
                </c:pt>
              </c:strCache>
            </c:strRef>
          </c:cat>
          <c:val>
            <c:numRef>
              <c:f>QUANTITY!$C$9:$C$14</c:f>
              <c:numCache>
                <c:formatCode>General</c:formatCode>
                <c:ptCount val="5"/>
                <c:pt idx="0">
                  <c:v>299</c:v>
                </c:pt>
                <c:pt idx="1">
                  <c:v>328</c:v>
                </c:pt>
                <c:pt idx="2">
                  <c:v>256</c:v>
                </c:pt>
                <c:pt idx="3">
                  <c:v>275</c:v>
                </c:pt>
                <c:pt idx="4">
                  <c:v>256</c:v>
                </c:pt>
              </c:numCache>
            </c:numRef>
          </c:val>
          <c:extLst>
            <c:ext xmlns:c16="http://schemas.microsoft.com/office/drawing/2014/chart" uri="{C3380CC4-5D6E-409C-BE32-E72D297353CC}">
              <c16:uniqueId val="{00000000-E527-4452-BCA7-9626F8B4A2D0}"/>
            </c:ext>
          </c:extLst>
        </c:ser>
        <c:ser>
          <c:idx val="1"/>
          <c:order val="1"/>
          <c:tx>
            <c:strRef>
              <c:f>QUANTITY!$D$7:$D$8</c:f>
              <c:strCache>
                <c:ptCount val="1"/>
                <c:pt idx="0">
                  <c:v>2024</c:v>
                </c:pt>
              </c:strCache>
            </c:strRef>
          </c:tx>
          <c:spPr>
            <a:solidFill>
              <a:schemeClr val="accent5"/>
            </a:solidFill>
            <a:ln>
              <a:noFill/>
            </a:ln>
            <a:effectLst/>
            <a:sp3d/>
          </c:spPr>
          <c:invertIfNegative val="0"/>
          <c:dPt>
            <c:idx val="1"/>
            <c:invertIfNegative val="0"/>
            <c:bubble3D val="0"/>
            <c:spPr>
              <a:solidFill>
                <a:schemeClr val="accent5"/>
              </a:solidFill>
              <a:ln>
                <a:noFill/>
              </a:ln>
              <a:effectLst/>
              <a:sp3d/>
            </c:spPr>
            <c:extLst>
              <c:ext xmlns:c16="http://schemas.microsoft.com/office/drawing/2014/chart" uri="{C3380CC4-5D6E-409C-BE32-E72D297353CC}">
                <c16:uniqueId val="{00000003-E527-4452-BCA7-9626F8B4A2D0}"/>
              </c:ext>
            </c:extLst>
          </c:dPt>
          <c:dPt>
            <c:idx val="3"/>
            <c:invertIfNegative val="0"/>
            <c:bubble3D val="0"/>
            <c:spPr>
              <a:solidFill>
                <a:schemeClr val="accent5"/>
              </a:solidFill>
              <a:ln>
                <a:noFill/>
              </a:ln>
              <a:effectLst/>
              <a:sp3d/>
            </c:spPr>
            <c:extLst>
              <c:ext xmlns:c16="http://schemas.microsoft.com/office/drawing/2014/chart" uri="{C3380CC4-5D6E-409C-BE32-E72D297353CC}">
                <c16:uniqueId val="{00000002-E527-4452-BCA7-9626F8B4A2D0}"/>
              </c:ext>
            </c:extLst>
          </c:dPt>
          <c:dLbls>
            <c:dLbl>
              <c:idx val="1"/>
              <c:layout>
                <c:manualLayout>
                  <c:x val="1.72206425333599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27-4452-BCA7-9626F8B4A2D0}"/>
                </c:ext>
              </c:extLst>
            </c:dLbl>
            <c:dLbl>
              <c:idx val="3"/>
              <c:layout>
                <c:manualLayout>
                  <c:x val="2.009074962225323E-2"/>
                  <c:y val="-4.966799431151676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27-4452-BCA7-9626F8B4A2D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QUANTITY!$B$9:$B$14</c:f>
              <c:strCache>
                <c:ptCount val="5"/>
                <c:pt idx="0">
                  <c:v>Laptop</c:v>
                </c:pt>
                <c:pt idx="1">
                  <c:v>Monitor</c:v>
                </c:pt>
                <c:pt idx="2">
                  <c:v>Phone</c:v>
                </c:pt>
                <c:pt idx="3">
                  <c:v>Printer</c:v>
                </c:pt>
                <c:pt idx="4">
                  <c:v>Tablet</c:v>
                </c:pt>
              </c:strCache>
            </c:strRef>
          </c:cat>
          <c:val>
            <c:numRef>
              <c:f>QUANTITY!$D$9:$D$14</c:f>
              <c:numCache>
                <c:formatCode>General</c:formatCode>
                <c:ptCount val="5"/>
                <c:pt idx="0">
                  <c:v>366</c:v>
                </c:pt>
                <c:pt idx="1">
                  <c:v>280</c:v>
                </c:pt>
                <c:pt idx="2">
                  <c:v>284</c:v>
                </c:pt>
                <c:pt idx="3">
                  <c:v>265</c:v>
                </c:pt>
                <c:pt idx="4">
                  <c:v>355</c:v>
                </c:pt>
              </c:numCache>
            </c:numRef>
          </c:val>
          <c:extLst>
            <c:ext xmlns:c16="http://schemas.microsoft.com/office/drawing/2014/chart" uri="{C3380CC4-5D6E-409C-BE32-E72D297353CC}">
              <c16:uniqueId val="{00000001-E527-4452-BCA7-9626F8B4A2D0}"/>
            </c:ext>
          </c:extLst>
        </c:ser>
        <c:dLbls>
          <c:showLegendKey val="0"/>
          <c:showVal val="1"/>
          <c:showCatName val="0"/>
          <c:showSerName val="0"/>
          <c:showPercent val="0"/>
          <c:showBubbleSize val="0"/>
        </c:dLbls>
        <c:gapWidth val="150"/>
        <c:shape val="box"/>
        <c:axId val="1078812304"/>
        <c:axId val="1078815904"/>
        <c:axId val="0"/>
      </c:bar3DChart>
      <c:catAx>
        <c:axId val="107881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78815904"/>
        <c:crosses val="autoZero"/>
        <c:auto val="1"/>
        <c:lblAlgn val="ctr"/>
        <c:lblOffset val="100"/>
        <c:noMultiLvlLbl val="0"/>
      </c:catAx>
      <c:valAx>
        <c:axId val="1078815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7881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[sales_dataset(AutoRecovered).xlsx]ORDERS!PivotTable34</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MONTHLY ORDER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0439301860702055E-2"/>
              <c:y val="3.737323315712902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layout>
            <c:manualLayout>
              <c:x val="-4.4879578925731273E-2"/>
              <c:y val="-0.1110364482671821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layout>
            <c:manualLayout>
              <c:x val="-3.2959372039746956E-2"/>
              <c:y val="4.609683984180010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layout>
            <c:manualLayout>
              <c:x val="-5.0839682368723549E-2"/>
              <c:y val="-6.227094506094621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0439301860702055E-2"/>
              <c:y val="6.988356862795291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0439301860702055E-2"/>
              <c:y val="5.362840089254097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layout>
            <c:manualLayout>
              <c:x val="-3.5939423761242949E-2"/>
              <c:y val="5.151522908693736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layout>
            <c:manualLayout>
              <c:x val="-5.3819734090219541E-2"/>
              <c:y val="5.15152290869374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layout>
            <c:manualLayout>
              <c:x val="-4.48795789257313E-2"/>
              <c:y val="2.984167210638815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9153072467024626E-2"/>
              <c:y val="4.815683894619038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6186683060444975E-2"/>
              <c:y val="5.356925203860456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ORDERS!$B$39:$B$40</c:f>
              <c:strCache>
                <c:ptCount val="1"/>
                <c:pt idx="0">
                  <c:v>2023</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0"/>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B-631C-4917-B06B-87EAE6F6651C}"/>
              </c:ext>
            </c:extLst>
          </c:dPt>
          <c:dPt>
            <c:idx val="2"/>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2-631C-4917-B06B-87EAE6F6651C}"/>
              </c:ext>
            </c:extLst>
          </c:dPt>
          <c:dPt>
            <c:idx val="4"/>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C-631C-4917-B06B-87EAE6F6651C}"/>
              </c:ext>
            </c:extLst>
          </c:dPt>
          <c:dPt>
            <c:idx val="6"/>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7-631C-4917-B06B-87EAE6F6651C}"/>
              </c:ext>
            </c:extLst>
          </c:dPt>
          <c:dPt>
            <c:idx val="8"/>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6-631C-4917-B06B-87EAE6F6651C}"/>
              </c:ext>
            </c:extLst>
          </c:dPt>
          <c:dLbls>
            <c:dLbl>
              <c:idx val="0"/>
              <c:layout>
                <c:manualLayout>
                  <c:x val="-4.9153072467024626E-2"/>
                  <c:y val="4.81568389461903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1C-4917-B06B-87EAE6F6651C}"/>
                </c:ext>
              </c:extLst>
            </c:dLbl>
            <c:dLbl>
              <c:idx val="2"/>
              <c:layout>
                <c:manualLayout>
                  <c:x val="-4.0439301860702055E-2"/>
                  <c:y val="3.73732331571290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1C-4917-B06B-87EAE6F6651C}"/>
                </c:ext>
              </c:extLst>
            </c:dLbl>
            <c:dLbl>
              <c:idx val="4"/>
              <c:layout>
                <c:manualLayout>
                  <c:x val="-4.6186683060444975E-2"/>
                  <c:y val="5.35692520386045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1C-4917-B06B-87EAE6F6651C}"/>
                </c:ext>
              </c:extLst>
            </c:dLbl>
            <c:dLbl>
              <c:idx val="6"/>
              <c:layout>
                <c:manualLayout>
                  <c:x val="-4.0439301860702055E-2"/>
                  <c:y val="5.36284008925409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1C-4917-B06B-87EAE6F6651C}"/>
                </c:ext>
              </c:extLst>
            </c:dLbl>
            <c:dLbl>
              <c:idx val="8"/>
              <c:layout>
                <c:manualLayout>
                  <c:x val="-4.0439301860702055E-2"/>
                  <c:y val="6.98835686279529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1C-4917-B06B-87EAE6F6651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ORDERS!$B$41:$B$53</c:f>
              <c:numCache>
                <c:formatCode>General</c:formatCode>
                <c:ptCount val="12"/>
                <c:pt idx="0">
                  <c:v>25</c:v>
                </c:pt>
                <c:pt idx="1">
                  <c:v>30</c:v>
                </c:pt>
                <c:pt idx="2">
                  <c:v>16</c:v>
                </c:pt>
                <c:pt idx="3">
                  <c:v>33</c:v>
                </c:pt>
                <c:pt idx="4">
                  <c:v>25</c:v>
                </c:pt>
                <c:pt idx="5">
                  <c:v>23</c:v>
                </c:pt>
                <c:pt idx="6">
                  <c:v>25</c:v>
                </c:pt>
                <c:pt idx="7">
                  <c:v>29</c:v>
                </c:pt>
                <c:pt idx="8">
                  <c:v>25</c:v>
                </c:pt>
                <c:pt idx="9">
                  <c:v>22</c:v>
                </c:pt>
                <c:pt idx="10">
                  <c:v>13</c:v>
                </c:pt>
                <c:pt idx="11">
                  <c:v>23</c:v>
                </c:pt>
              </c:numCache>
            </c:numRef>
          </c:val>
          <c:smooth val="0"/>
          <c:extLst>
            <c:ext xmlns:c16="http://schemas.microsoft.com/office/drawing/2014/chart" uri="{C3380CC4-5D6E-409C-BE32-E72D297353CC}">
              <c16:uniqueId val="{00000000-631C-4917-B06B-87EAE6F6651C}"/>
            </c:ext>
          </c:extLst>
        </c:ser>
        <c:ser>
          <c:idx val="1"/>
          <c:order val="1"/>
          <c:tx>
            <c:strRef>
              <c:f>ORDERS!$C$39:$C$40</c:f>
              <c:strCache>
                <c:ptCount val="1"/>
                <c:pt idx="0">
                  <c:v>2024</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Pt>
            <c:idx val="1"/>
            <c:marker>
              <c:symbol val="circle"/>
              <c:size val="5"/>
              <c:spPr>
                <a:solidFill>
                  <a:schemeClr val="accent5"/>
                </a:solidFill>
                <a:ln w="9525">
                  <a:solidFill>
                    <a:schemeClr val="accent5"/>
                  </a:solidFill>
                </a:ln>
                <a:effectLst/>
              </c:spPr>
            </c:marker>
            <c:bubble3D val="0"/>
            <c:extLst>
              <c:ext xmlns:c16="http://schemas.microsoft.com/office/drawing/2014/chart" uri="{C3380CC4-5D6E-409C-BE32-E72D297353CC}">
                <c16:uniqueId val="{00000009-631C-4917-B06B-87EAE6F6651C}"/>
              </c:ext>
            </c:extLst>
          </c:dPt>
          <c:dPt>
            <c:idx val="2"/>
            <c:marker>
              <c:symbol val="circle"/>
              <c:size val="5"/>
              <c:spPr>
                <a:solidFill>
                  <a:schemeClr val="accent5"/>
                </a:solidFill>
                <a:ln w="9525">
                  <a:solidFill>
                    <a:schemeClr val="accent5"/>
                  </a:solidFill>
                </a:ln>
                <a:effectLst/>
              </c:spPr>
            </c:marker>
            <c:bubble3D val="0"/>
            <c:extLst>
              <c:ext xmlns:c16="http://schemas.microsoft.com/office/drawing/2014/chart" uri="{C3380CC4-5D6E-409C-BE32-E72D297353CC}">
                <c16:uniqueId val="{00000003-631C-4917-B06B-87EAE6F6651C}"/>
              </c:ext>
            </c:extLst>
          </c:dPt>
          <c:dPt>
            <c:idx val="3"/>
            <c:marker>
              <c:symbol val="circle"/>
              <c:size val="5"/>
              <c:spPr>
                <a:solidFill>
                  <a:schemeClr val="accent5"/>
                </a:solidFill>
                <a:ln w="9525">
                  <a:solidFill>
                    <a:schemeClr val="accent5"/>
                  </a:solidFill>
                </a:ln>
                <a:effectLst/>
              </c:spPr>
            </c:marker>
            <c:bubble3D val="0"/>
            <c:extLst>
              <c:ext xmlns:c16="http://schemas.microsoft.com/office/drawing/2014/chart" uri="{C3380CC4-5D6E-409C-BE32-E72D297353CC}">
                <c16:uniqueId val="{00000008-631C-4917-B06B-87EAE6F6651C}"/>
              </c:ext>
            </c:extLst>
          </c:dPt>
          <c:dPt>
            <c:idx val="5"/>
            <c:marker>
              <c:symbol val="circle"/>
              <c:size val="5"/>
              <c:spPr>
                <a:solidFill>
                  <a:schemeClr val="accent5"/>
                </a:solidFill>
                <a:ln w="9525">
                  <a:solidFill>
                    <a:schemeClr val="accent5"/>
                  </a:solidFill>
                </a:ln>
                <a:effectLst/>
              </c:spPr>
            </c:marker>
            <c:bubble3D val="0"/>
            <c:extLst>
              <c:ext xmlns:c16="http://schemas.microsoft.com/office/drawing/2014/chart" uri="{C3380CC4-5D6E-409C-BE32-E72D297353CC}">
                <c16:uniqueId val="{0000000A-631C-4917-B06B-87EAE6F6651C}"/>
              </c:ext>
            </c:extLst>
          </c:dPt>
          <c:dPt>
            <c:idx val="8"/>
            <c:marker>
              <c:symbol val="circle"/>
              <c:size val="5"/>
              <c:spPr>
                <a:solidFill>
                  <a:schemeClr val="accent5"/>
                </a:solidFill>
                <a:ln w="9525">
                  <a:solidFill>
                    <a:schemeClr val="accent5"/>
                  </a:solidFill>
                </a:ln>
                <a:effectLst/>
              </c:spPr>
            </c:marker>
            <c:bubble3D val="0"/>
            <c:extLst>
              <c:ext xmlns:c16="http://schemas.microsoft.com/office/drawing/2014/chart" uri="{C3380CC4-5D6E-409C-BE32-E72D297353CC}">
                <c16:uniqueId val="{00000005-631C-4917-B06B-87EAE6F6651C}"/>
              </c:ext>
            </c:extLst>
          </c:dPt>
          <c:dPt>
            <c:idx val="11"/>
            <c:marker>
              <c:symbol val="circle"/>
              <c:size val="5"/>
              <c:spPr>
                <a:solidFill>
                  <a:schemeClr val="accent5"/>
                </a:solidFill>
                <a:ln w="9525">
                  <a:solidFill>
                    <a:schemeClr val="accent5"/>
                  </a:solidFill>
                </a:ln>
                <a:effectLst/>
              </c:spPr>
            </c:marker>
            <c:bubble3D val="0"/>
            <c:extLst>
              <c:ext xmlns:c16="http://schemas.microsoft.com/office/drawing/2014/chart" uri="{C3380CC4-5D6E-409C-BE32-E72D297353CC}">
                <c16:uniqueId val="{00000004-631C-4917-B06B-87EAE6F6651C}"/>
              </c:ext>
            </c:extLst>
          </c:dPt>
          <c:dLbls>
            <c:dLbl>
              <c:idx val="1"/>
              <c:layout>
                <c:manualLayout>
                  <c:x val="-5.3819734090219541E-2"/>
                  <c:y val="5.15152290869374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1C-4917-B06B-87EAE6F6651C}"/>
                </c:ext>
              </c:extLst>
            </c:dLbl>
            <c:dLbl>
              <c:idx val="2"/>
              <c:layout>
                <c:manualLayout>
                  <c:x val="-4.4879578925731273E-2"/>
                  <c:y val="-0.111036448267182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1C-4917-B06B-87EAE6F6651C}"/>
                </c:ext>
              </c:extLst>
            </c:dLbl>
            <c:dLbl>
              <c:idx val="3"/>
              <c:layout>
                <c:manualLayout>
                  <c:x val="-3.5939423761242949E-2"/>
                  <c:y val="5.15152290869373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1C-4917-B06B-87EAE6F6651C}"/>
                </c:ext>
              </c:extLst>
            </c:dLbl>
            <c:dLbl>
              <c:idx val="5"/>
              <c:layout>
                <c:manualLayout>
                  <c:x val="-4.48795789257313E-2"/>
                  <c:y val="2.98416721063881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1C-4917-B06B-87EAE6F6651C}"/>
                </c:ext>
              </c:extLst>
            </c:dLbl>
            <c:dLbl>
              <c:idx val="8"/>
              <c:layout>
                <c:manualLayout>
                  <c:x val="-5.0839682368723549E-2"/>
                  <c:y val="-6.22709450609462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1C-4917-B06B-87EAE6F6651C}"/>
                </c:ext>
              </c:extLst>
            </c:dLbl>
            <c:dLbl>
              <c:idx val="11"/>
              <c:layout>
                <c:manualLayout>
                  <c:x val="-3.2959372039746956E-2"/>
                  <c:y val="4.60968398418001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1C-4917-B06B-87EAE6F6651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ORDERS!$C$41:$C$53</c:f>
              <c:numCache>
                <c:formatCode>General</c:formatCode>
                <c:ptCount val="12"/>
                <c:pt idx="0">
                  <c:v>31</c:v>
                </c:pt>
                <c:pt idx="1">
                  <c:v>26</c:v>
                </c:pt>
                <c:pt idx="2">
                  <c:v>19</c:v>
                </c:pt>
                <c:pt idx="3">
                  <c:v>29</c:v>
                </c:pt>
                <c:pt idx="4">
                  <c:v>31</c:v>
                </c:pt>
                <c:pt idx="5">
                  <c:v>11</c:v>
                </c:pt>
                <c:pt idx="6">
                  <c:v>33</c:v>
                </c:pt>
                <c:pt idx="7">
                  <c:v>17</c:v>
                </c:pt>
                <c:pt idx="8">
                  <c:v>26</c:v>
                </c:pt>
                <c:pt idx="9">
                  <c:v>33</c:v>
                </c:pt>
                <c:pt idx="10">
                  <c:v>34</c:v>
                </c:pt>
                <c:pt idx="11">
                  <c:v>21</c:v>
                </c:pt>
              </c:numCache>
            </c:numRef>
          </c:val>
          <c:smooth val="0"/>
          <c:extLst>
            <c:ext xmlns:c16="http://schemas.microsoft.com/office/drawing/2014/chart" uri="{C3380CC4-5D6E-409C-BE32-E72D297353CC}">
              <c16:uniqueId val="{00000001-631C-4917-B06B-87EAE6F6651C}"/>
            </c:ext>
          </c:extLst>
        </c:ser>
        <c:dLbls>
          <c:dLblPos val="t"/>
          <c:showLegendKey val="0"/>
          <c:showVal val="1"/>
          <c:showCatName val="0"/>
          <c:showSerName val="0"/>
          <c:showPercent val="0"/>
          <c:showBubbleSize val="0"/>
        </c:dLbls>
        <c:marker val="1"/>
        <c:smooth val="0"/>
        <c:axId val="1078833544"/>
        <c:axId val="1078825624"/>
      </c:lineChart>
      <c:catAx>
        <c:axId val="1078833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78825624"/>
        <c:crosses val="autoZero"/>
        <c:auto val="1"/>
        <c:lblAlgn val="ctr"/>
        <c:lblOffset val="100"/>
        <c:noMultiLvlLbl val="0"/>
      </c:catAx>
      <c:valAx>
        <c:axId val="1078825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78833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[sales_dataset(AutoRecovered).xlsx]PROFIT ANALYSIS!PivotTable7</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95647419072616"/>
          <c:y val="0.15656580554920516"/>
          <c:w val="0.73302537182852145"/>
          <c:h val="0.78619843968039738"/>
        </c:manualLayout>
      </c:layout>
      <c:bar3DChart>
        <c:barDir val="bar"/>
        <c:grouping val="clustered"/>
        <c:varyColors val="0"/>
        <c:ser>
          <c:idx val="0"/>
          <c:order val="0"/>
          <c:tx>
            <c:strRef>
              <c:f>'PROFIT ANALYSIS'!$B$12:$B$13</c:f>
              <c:strCache>
                <c:ptCount val="1"/>
                <c:pt idx="0">
                  <c:v>2023</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ANALYSIS'!$A$14:$A$19</c:f>
              <c:strCache>
                <c:ptCount val="5"/>
                <c:pt idx="0">
                  <c:v>Laptop</c:v>
                </c:pt>
                <c:pt idx="1">
                  <c:v>Monitor</c:v>
                </c:pt>
                <c:pt idx="2">
                  <c:v>Phone</c:v>
                </c:pt>
                <c:pt idx="3">
                  <c:v>Printer</c:v>
                </c:pt>
                <c:pt idx="4">
                  <c:v>Tablet</c:v>
                </c:pt>
              </c:strCache>
            </c:strRef>
          </c:cat>
          <c:val>
            <c:numRef>
              <c:f>'PROFIT ANALYSIS'!$B$14:$B$19</c:f>
              <c:numCache>
                <c:formatCode>0</c:formatCode>
                <c:ptCount val="5"/>
                <c:pt idx="0">
                  <c:v>20681968.758708429</c:v>
                </c:pt>
                <c:pt idx="1">
                  <c:v>23145862.211925674</c:v>
                </c:pt>
                <c:pt idx="2">
                  <c:v>17629090.22931755</c:v>
                </c:pt>
                <c:pt idx="3">
                  <c:v>19041290.789750386</c:v>
                </c:pt>
                <c:pt idx="4">
                  <c:v>19592464.972337294</c:v>
                </c:pt>
              </c:numCache>
            </c:numRef>
          </c:val>
          <c:extLst>
            <c:ext xmlns:c16="http://schemas.microsoft.com/office/drawing/2014/chart" uri="{C3380CC4-5D6E-409C-BE32-E72D297353CC}">
              <c16:uniqueId val="{00000000-C865-4A35-9167-0DF713E3C507}"/>
            </c:ext>
          </c:extLst>
        </c:ser>
        <c:ser>
          <c:idx val="1"/>
          <c:order val="1"/>
          <c:tx>
            <c:strRef>
              <c:f>'PROFIT ANALYSIS'!$C$12:$C$13</c:f>
              <c:strCache>
                <c:ptCount val="1"/>
                <c:pt idx="0">
                  <c:v>2024</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ANALYSIS'!$A$14:$A$19</c:f>
              <c:strCache>
                <c:ptCount val="5"/>
                <c:pt idx="0">
                  <c:v>Laptop</c:v>
                </c:pt>
                <c:pt idx="1">
                  <c:v>Monitor</c:v>
                </c:pt>
                <c:pt idx="2">
                  <c:v>Phone</c:v>
                </c:pt>
                <c:pt idx="3">
                  <c:v>Printer</c:v>
                </c:pt>
                <c:pt idx="4">
                  <c:v>Tablet</c:v>
                </c:pt>
              </c:strCache>
            </c:strRef>
          </c:cat>
          <c:val>
            <c:numRef>
              <c:f>'PROFIT ANALYSIS'!$C$14:$C$19</c:f>
              <c:numCache>
                <c:formatCode>0</c:formatCode>
                <c:ptCount val="5"/>
                <c:pt idx="0">
                  <c:v>24396373.274804726</c:v>
                </c:pt>
                <c:pt idx="1">
                  <c:v>22456307.760802973</c:v>
                </c:pt>
                <c:pt idx="2">
                  <c:v>20944049.510428105</c:v>
                </c:pt>
                <c:pt idx="3">
                  <c:v>20111449.396280758</c:v>
                </c:pt>
                <c:pt idx="4">
                  <c:v>26816759.37865546</c:v>
                </c:pt>
              </c:numCache>
            </c:numRef>
          </c:val>
          <c:extLst>
            <c:ext xmlns:c16="http://schemas.microsoft.com/office/drawing/2014/chart" uri="{C3380CC4-5D6E-409C-BE32-E72D297353CC}">
              <c16:uniqueId val="{00000001-C865-4A35-9167-0DF713E3C507}"/>
            </c:ext>
          </c:extLst>
        </c:ser>
        <c:dLbls>
          <c:showLegendKey val="0"/>
          <c:showVal val="1"/>
          <c:showCatName val="0"/>
          <c:showSerName val="0"/>
          <c:showPercent val="0"/>
          <c:showBubbleSize val="0"/>
        </c:dLbls>
        <c:gapWidth val="150"/>
        <c:shape val="box"/>
        <c:axId val="1078847584"/>
        <c:axId val="1078848304"/>
        <c:axId val="0"/>
      </c:bar3DChart>
      <c:catAx>
        <c:axId val="107884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078848304"/>
        <c:crosses val="autoZero"/>
        <c:auto val="1"/>
        <c:lblAlgn val="ctr"/>
        <c:lblOffset val="100"/>
        <c:noMultiLvlLbl val="0"/>
      </c:catAx>
      <c:valAx>
        <c:axId val="1078848304"/>
        <c:scaling>
          <c:orientation val="minMax"/>
        </c:scaling>
        <c:delete val="1"/>
        <c:axPos val="b"/>
        <c:numFmt formatCode="0" sourceLinked="1"/>
        <c:majorTickMark val="none"/>
        <c:minorTickMark val="none"/>
        <c:tickLblPos val="nextTo"/>
        <c:crossAx val="107884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[sales_dataset(AutoRecovered).xlsx]2023 VS 2024 PERFORMANCE!PivotTable48</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2023</a:t>
            </a:r>
            <a:r>
              <a:rPr lang="en-US" b="1" baseline="0"/>
              <a:t> VS 2024 KPIs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dLbl>
          <c:idx val="0"/>
          <c:layout>
            <c:manualLayout>
              <c:x val="0"/>
              <c:y val="-1.81932263896330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dLbl>
          <c:idx val="0"/>
          <c:layout>
            <c:manualLayout>
              <c:x val="0"/>
              <c:y val="-1.81932263896330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sp3d/>
        </c:spPr>
        <c:dLbl>
          <c:idx val="0"/>
          <c:layout>
            <c:manualLayout>
              <c:x val="0"/>
              <c:y val="-1.819322638963304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'2023 VS 2024 PERFORMANCE'!$Q$39</c:f>
              <c:strCache>
                <c:ptCount val="1"/>
                <c:pt idx="0">
                  <c:v>Cost</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VS 2024 PERFORMANCE'!$P$40:$P$42</c:f>
              <c:strCache>
                <c:ptCount val="2"/>
                <c:pt idx="0">
                  <c:v>2023</c:v>
                </c:pt>
                <c:pt idx="1">
                  <c:v>2024</c:v>
                </c:pt>
              </c:strCache>
            </c:strRef>
          </c:cat>
          <c:val>
            <c:numRef>
              <c:f>'2023 VS 2024 PERFORMANCE'!$Q$40:$Q$42</c:f>
              <c:numCache>
                <c:formatCode>0</c:formatCode>
                <c:ptCount val="2"/>
                <c:pt idx="0">
                  <c:v>254173176.61877832</c:v>
                </c:pt>
                <c:pt idx="1">
                  <c:v>288977558.24675322</c:v>
                </c:pt>
              </c:numCache>
            </c:numRef>
          </c:val>
          <c:extLst>
            <c:ext xmlns:c16="http://schemas.microsoft.com/office/drawing/2014/chart" uri="{C3380CC4-5D6E-409C-BE32-E72D297353CC}">
              <c16:uniqueId val="{00000000-659E-4279-973A-B59AB5C09AEE}"/>
            </c:ext>
          </c:extLst>
        </c:ser>
        <c:ser>
          <c:idx val="1"/>
          <c:order val="1"/>
          <c:tx>
            <c:strRef>
              <c:f>'2023 VS 2024 PERFORMANCE'!$R$39</c:f>
              <c:strCache>
                <c:ptCount val="1"/>
                <c:pt idx="0">
                  <c:v>Net Revenue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VS 2024 PERFORMANCE'!$P$40:$P$42</c:f>
              <c:strCache>
                <c:ptCount val="2"/>
                <c:pt idx="0">
                  <c:v>2023</c:v>
                </c:pt>
                <c:pt idx="1">
                  <c:v>2024</c:v>
                </c:pt>
              </c:strCache>
            </c:strRef>
          </c:cat>
          <c:val>
            <c:numRef>
              <c:f>'2023 VS 2024 PERFORMANCE'!$R$40:$R$42</c:f>
              <c:numCache>
                <c:formatCode>0</c:formatCode>
                <c:ptCount val="2"/>
                <c:pt idx="0">
                  <c:v>354263853.5808177</c:v>
                </c:pt>
                <c:pt idx="1">
                  <c:v>403702497.5677253</c:v>
                </c:pt>
              </c:numCache>
            </c:numRef>
          </c:val>
          <c:extLst>
            <c:ext xmlns:c16="http://schemas.microsoft.com/office/drawing/2014/chart" uri="{C3380CC4-5D6E-409C-BE32-E72D297353CC}">
              <c16:uniqueId val="{00000001-659E-4279-973A-B59AB5C09AEE}"/>
            </c:ext>
          </c:extLst>
        </c:ser>
        <c:ser>
          <c:idx val="2"/>
          <c:order val="2"/>
          <c:tx>
            <c:strRef>
              <c:f>'2023 VS 2024 PERFORMANCE'!$S$39</c:f>
              <c:strCache>
                <c:ptCount val="1"/>
                <c:pt idx="0">
                  <c:v>Profit</c:v>
                </c:pt>
              </c:strCache>
            </c:strRef>
          </c:tx>
          <c:spPr>
            <a:solidFill>
              <a:schemeClr val="accent4"/>
            </a:solidFill>
            <a:ln>
              <a:noFill/>
            </a:ln>
            <a:effectLst/>
            <a:sp3d/>
          </c:spPr>
          <c:invertIfNegative val="0"/>
          <c:dPt>
            <c:idx val="1"/>
            <c:invertIfNegative val="0"/>
            <c:bubble3D val="0"/>
            <c:spPr>
              <a:solidFill>
                <a:schemeClr val="accent4"/>
              </a:solidFill>
              <a:ln>
                <a:noFill/>
              </a:ln>
              <a:effectLst/>
              <a:sp3d/>
            </c:spPr>
            <c:extLst>
              <c:ext xmlns:c16="http://schemas.microsoft.com/office/drawing/2014/chart" uri="{C3380CC4-5D6E-409C-BE32-E72D297353CC}">
                <c16:uniqueId val="{00000002-659E-4279-973A-B59AB5C09AEE}"/>
              </c:ext>
            </c:extLst>
          </c:dPt>
          <c:dLbls>
            <c:dLbl>
              <c:idx val="1"/>
              <c:layout>
                <c:manualLayout>
                  <c:x val="0"/>
                  <c:y val="-1.81932263896330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9E-4279-973A-B59AB5C09AE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VS 2024 PERFORMANCE'!$P$40:$P$42</c:f>
              <c:strCache>
                <c:ptCount val="2"/>
                <c:pt idx="0">
                  <c:v>2023</c:v>
                </c:pt>
                <c:pt idx="1">
                  <c:v>2024</c:v>
                </c:pt>
              </c:strCache>
            </c:strRef>
          </c:cat>
          <c:val>
            <c:numRef>
              <c:f>'2023 VS 2024 PERFORMANCE'!$S$40:$S$42</c:f>
              <c:numCache>
                <c:formatCode>0</c:formatCode>
                <c:ptCount val="2"/>
                <c:pt idx="0">
                  <c:v>100090676.96203929</c:v>
                </c:pt>
                <c:pt idx="1">
                  <c:v>114724939.32097203</c:v>
                </c:pt>
              </c:numCache>
            </c:numRef>
          </c:val>
          <c:extLst>
            <c:ext xmlns:c16="http://schemas.microsoft.com/office/drawing/2014/chart" uri="{C3380CC4-5D6E-409C-BE32-E72D297353CC}">
              <c16:uniqueId val="{00000003-659E-4279-973A-B59AB5C09AEE}"/>
            </c:ext>
          </c:extLst>
        </c:ser>
        <c:dLbls>
          <c:showLegendKey val="0"/>
          <c:showVal val="1"/>
          <c:showCatName val="0"/>
          <c:showSerName val="0"/>
          <c:showPercent val="0"/>
          <c:showBubbleSize val="0"/>
        </c:dLbls>
        <c:gapWidth val="150"/>
        <c:shape val="box"/>
        <c:axId val="1209757584"/>
        <c:axId val="1209752904"/>
        <c:axId val="0"/>
      </c:bar3DChart>
      <c:catAx>
        <c:axId val="120975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09752904"/>
        <c:crosses val="autoZero"/>
        <c:auto val="1"/>
        <c:lblAlgn val="ctr"/>
        <c:lblOffset val="100"/>
        <c:noMultiLvlLbl val="0"/>
      </c:catAx>
      <c:valAx>
        <c:axId val="1209752904"/>
        <c:scaling>
          <c:orientation val="minMax"/>
        </c:scaling>
        <c:delete val="1"/>
        <c:axPos val="b"/>
        <c:numFmt formatCode="0" sourceLinked="1"/>
        <c:majorTickMark val="none"/>
        <c:minorTickMark val="none"/>
        <c:tickLblPos val="nextTo"/>
        <c:crossAx val="120975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07/relationships/hdphoto" Target="../media/hdphoto1.wdp"/><Relationship Id="rId7"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2.xml"/><Relationship Id="rId5" Type="http://schemas.microsoft.com/office/2007/relationships/hdphoto" Target="../media/hdphoto2.wdp"/><Relationship Id="rId10" Type="http://schemas.openxmlformats.org/officeDocument/2006/relationships/chart" Target="../charts/chart6.xml"/><Relationship Id="rId4" Type="http://schemas.openxmlformats.org/officeDocument/2006/relationships/image" Target="../media/image2.pn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121317</xdr:colOff>
      <xdr:row>14</xdr:row>
      <xdr:rowOff>88846</xdr:rowOff>
    </xdr:from>
    <xdr:to>
      <xdr:col>11</xdr:col>
      <xdr:colOff>131565</xdr:colOff>
      <xdr:row>27</xdr:row>
      <xdr:rowOff>155002</xdr:rowOff>
    </xdr:to>
    <xdr:sp macro="" textlink="">
      <xdr:nvSpPr>
        <xdr:cNvPr id="2" name="Rectangle: Rounded Corners 1">
          <a:extLst>
            <a:ext uri="{FF2B5EF4-FFF2-40B4-BE49-F238E27FC236}">
              <a16:creationId xmlns:a16="http://schemas.microsoft.com/office/drawing/2014/main" id="{A8B71992-55D9-4784-A846-9ED0F553E3C3}"/>
            </a:ext>
          </a:extLst>
        </xdr:cNvPr>
        <xdr:cNvSpPr/>
      </xdr:nvSpPr>
      <xdr:spPr>
        <a:xfrm>
          <a:off x="1939726" y="2715437"/>
          <a:ext cx="4859339" cy="2505133"/>
        </a:xfrm>
        <a:prstGeom prst="roundRect">
          <a:avLst/>
        </a:prstGeom>
        <a:solidFill>
          <a:schemeClr val="accent6">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152852</xdr:colOff>
      <xdr:row>28</xdr:row>
      <xdr:rowOff>137067</xdr:rowOff>
    </xdr:from>
    <xdr:to>
      <xdr:col>11</xdr:col>
      <xdr:colOff>163100</xdr:colOff>
      <xdr:row>42</xdr:row>
      <xdr:rowOff>18586</xdr:rowOff>
    </xdr:to>
    <xdr:sp macro="" textlink="">
      <xdr:nvSpPr>
        <xdr:cNvPr id="3" name="Rectangle: Rounded Corners 2">
          <a:extLst>
            <a:ext uri="{FF2B5EF4-FFF2-40B4-BE49-F238E27FC236}">
              <a16:creationId xmlns:a16="http://schemas.microsoft.com/office/drawing/2014/main" id="{DAFCB145-124E-43D1-B977-760C43894E18}"/>
            </a:ext>
          </a:extLst>
        </xdr:cNvPr>
        <xdr:cNvSpPr/>
      </xdr:nvSpPr>
      <xdr:spPr>
        <a:xfrm>
          <a:off x="1971261" y="5390249"/>
          <a:ext cx="4859339" cy="2508110"/>
        </a:xfrm>
        <a:prstGeom prst="roundRect">
          <a:avLst/>
        </a:prstGeom>
        <a:solidFill>
          <a:schemeClr val="accent6">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66640</xdr:colOff>
      <xdr:row>28</xdr:row>
      <xdr:rowOff>179027</xdr:rowOff>
    </xdr:from>
    <xdr:to>
      <xdr:col>20</xdr:col>
      <xdr:colOff>76887</xdr:colOff>
      <xdr:row>42</xdr:row>
      <xdr:rowOff>51707</xdr:rowOff>
    </xdr:to>
    <xdr:sp macro="" textlink="">
      <xdr:nvSpPr>
        <xdr:cNvPr id="5" name="Rectangle: Rounded Corners 4">
          <a:extLst>
            <a:ext uri="{FF2B5EF4-FFF2-40B4-BE49-F238E27FC236}">
              <a16:creationId xmlns:a16="http://schemas.microsoft.com/office/drawing/2014/main" id="{9A7DB16A-FDF5-4DB6-8D2C-6528411D226B}"/>
            </a:ext>
          </a:extLst>
        </xdr:cNvPr>
        <xdr:cNvSpPr/>
      </xdr:nvSpPr>
      <xdr:spPr>
        <a:xfrm>
          <a:off x="7340276" y="5432209"/>
          <a:ext cx="4859338" cy="2499271"/>
        </a:xfrm>
        <a:prstGeom prst="roundRect">
          <a:avLst/>
        </a:prstGeom>
        <a:solidFill>
          <a:schemeClr val="accent6">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28415</xdr:colOff>
      <xdr:row>14</xdr:row>
      <xdr:rowOff>110710</xdr:rowOff>
    </xdr:from>
    <xdr:to>
      <xdr:col>20</xdr:col>
      <xdr:colOff>38662</xdr:colOff>
      <xdr:row>27</xdr:row>
      <xdr:rowOff>176866</xdr:rowOff>
    </xdr:to>
    <xdr:sp macro="" textlink="">
      <xdr:nvSpPr>
        <xdr:cNvPr id="6" name="Rectangle: Rounded Corners 5">
          <a:extLst>
            <a:ext uri="{FF2B5EF4-FFF2-40B4-BE49-F238E27FC236}">
              <a16:creationId xmlns:a16="http://schemas.microsoft.com/office/drawing/2014/main" id="{B6554883-9483-4749-8802-346BBEFA0FA9}"/>
            </a:ext>
          </a:extLst>
        </xdr:cNvPr>
        <xdr:cNvSpPr/>
      </xdr:nvSpPr>
      <xdr:spPr>
        <a:xfrm>
          <a:off x="7302051" y="2737301"/>
          <a:ext cx="4859338" cy="2505133"/>
        </a:xfrm>
        <a:prstGeom prst="roundRect">
          <a:avLst/>
        </a:prstGeom>
        <a:solidFill>
          <a:schemeClr val="accent6">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139808</xdr:colOff>
      <xdr:row>8</xdr:row>
      <xdr:rowOff>131689</xdr:rowOff>
    </xdr:from>
    <xdr:to>
      <xdr:col>24</xdr:col>
      <xdr:colOff>49349</xdr:colOff>
      <xdr:row>13</xdr:row>
      <xdr:rowOff>145450</xdr:rowOff>
    </xdr:to>
    <xdr:sp macro="" textlink="">
      <xdr:nvSpPr>
        <xdr:cNvPr id="7" name="Rectangle: Rounded Corners 6">
          <a:extLst>
            <a:ext uri="{FF2B5EF4-FFF2-40B4-BE49-F238E27FC236}">
              <a16:creationId xmlns:a16="http://schemas.microsoft.com/office/drawing/2014/main" id="{E210A761-6D0F-4E08-9B09-E2E705C87DC0}"/>
            </a:ext>
          </a:extLst>
        </xdr:cNvPr>
        <xdr:cNvSpPr/>
      </xdr:nvSpPr>
      <xdr:spPr>
        <a:xfrm>
          <a:off x="12868672" y="1632598"/>
          <a:ext cx="1727950" cy="951829"/>
        </a:xfrm>
        <a:prstGeom prst="roundRect">
          <a:avLst/>
        </a:prstGeom>
        <a:solidFill>
          <a:schemeClr val="accent6">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ctr"/>
          <a:r>
            <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rPr>
            <a:t>TOTAL DISCOUNT ALLOWED </a:t>
          </a:r>
        </a:p>
        <a:p>
          <a:pPr marL="0" indent="0" algn="l"/>
          <a:endParaRPr lang="en-US" sz="1100">
            <a:solidFill>
              <a:schemeClr val="lt1"/>
            </a:solidFill>
            <a:latin typeface="+mn-lt"/>
            <a:ea typeface="+mn-ea"/>
            <a:cs typeface="+mn-cs"/>
          </a:endParaRPr>
        </a:p>
      </xdr:txBody>
    </xdr:sp>
    <xdr:clientData/>
  </xdr:twoCellAnchor>
  <xdr:twoCellAnchor>
    <xdr:from>
      <xdr:col>12</xdr:col>
      <xdr:colOff>109171</xdr:colOff>
      <xdr:row>8</xdr:row>
      <xdr:rowOff>172373</xdr:rowOff>
    </xdr:from>
    <xdr:to>
      <xdr:col>15</xdr:col>
      <xdr:colOff>23366</xdr:colOff>
      <xdr:row>13</xdr:row>
      <xdr:rowOff>186134</xdr:rowOff>
    </xdr:to>
    <xdr:sp macro="" textlink="">
      <xdr:nvSpPr>
        <xdr:cNvPr id="8" name="Rectangle: Rounded Corners 7">
          <a:extLst>
            <a:ext uri="{FF2B5EF4-FFF2-40B4-BE49-F238E27FC236}">
              <a16:creationId xmlns:a16="http://schemas.microsoft.com/office/drawing/2014/main" id="{DDDFD96D-3E59-41B2-835D-2CB86996AA58}"/>
            </a:ext>
          </a:extLst>
        </xdr:cNvPr>
        <xdr:cNvSpPr/>
      </xdr:nvSpPr>
      <xdr:spPr>
        <a:xfrm>
          <a:off x="7382807" y="1673282"/>
          <a:ext cx="1732604" cy="951829"/>
        </a:xfrm>
        <a:prstGeom prst="roundRect">
          <a:avLst/>
        </a:prstGeom>
        <a:solidFill>
          <a:schemeClr val="accent6">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ctr"/>
          <a:r>
            <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rPr>
            <a:t>PROFIT</a:t>
          </a:r>
        </a:p>
        <a:p>
          <a:pPr marL="0" indent="0" algn="ctr"/>
          <a:r>
            <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rPr>
            <a:t> MARGIN</a:t>
          </a:r>
        </a:p>
        <a:p>
          <a:pPr marL="0" indent="0" algn="l"/>
          <a:endParaRPr lang="en-US" sz="1100">
            <a:solidFill>
              <a:schemeClr val="lt1"/>
            </a:solidFill>
            <a:latin typeface="+mn-lt"/>
            <a:ea typeface="+mn-ea"/>
            <a:cs typeface="+mn-cs"/>
          </a:endParaRPr>
        </a:p>
        <a:p>
          <a:pPr marL="0" indent="0" algn="l"/>
          <a:endParaRPr lang="en-US" sz="1100">
            <a:solidFill>
              <a:schemeClr val="lt1"/>
            </a:solidFill>
            <a:latin typeface="+mn-lt"/>
            <a:ea typeface="+mn-ea"/>
            <a:cs typeface="+mn-cs"/>
          </a:endParaRPr>
        </a:p>
      </xdr:txBody>
    </xdr:sp>
    <xdr:clientData/>
  </xdr:twoCellAnchor>
  <xdr:twoCellAnchor>
    <xdr:from>
      <xdr:col>7</xdr:col>
      <xdr:colOff>586671</xdr:colOff>
      <xdr:row>8</xdr:row>
      <xdr:rowOff>157595</xdr:rowOff>
    </xdr:from>
    <xdr:to>
      <xdr:col>10</xdr:col>
      <xdr:colOff>500865</xdr:colOff>
      <xdr:row>13</xdr:row>
      <xdr:rowOff>171355</xdr:rowOff>
    </xdr:to>
    <xdr:sp macro="" textlink="">
      <xdr:nvSpPr>
        <xdr:cNvPr id="9" name="Rectangle: Rounded Corners 8">
          <a:extLst>
            <a:ext uri="{FF2B5EF4-FFF2-40B4-BE49-F238E27FC236}">
              <a16:creationId xmlns:a16="http://schemas.microsoft.com/office/drawing/2014/main" id="{4E8533A3-ED3D-42AE-A787-667F3FF15267}"/>
            </a:ext>
          </a:extLst>
        </xdr:cNvPr>
        <xdr:cNvSpPr/>
      </xdr:nvSpPr>
      <xdr:spPr>
        <a:xfrm>
          <a:off x="4829626" y="1658504"/>
          <a:ext cx="1732603" cy="951828"/>
        </a:xfrm>
        <a:prstGeom prst="roundRect">
          <a:avLst/>
        </a:prstGeom>
        <a:solidFill>
          <a:schemeClr val="accent6">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ctr"/>
          <a:r>
            <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rPr>
            <a:t>TOTAL COST INCURRED </a:t>
          </a:r>
        </a:p>
        <a:p>
          <a:pPr marL="0" indent="0" algn="l"/>
          <a:endParaRPr lang="en-US" sz="1100">
            <a:solidFill>
              <a:schemeClr val="lt1"/>
            </a:solidFill>
            <a:latin typeface="+mn-lt"/>
            <a:ea typeface="+mn-ea"/>
            <a:cs typeface="+mn-cs"/>
          </a:endParaRPr>
        </a:p>
      </xdr:txBody>
    </xdr:sp>
    <xdr:clientData/>
  </xdr:twoCellAnchor>
  <xdr:twoCellAnchor>
    <xdr:from>
      <xdr:col>3</xdr:col>
      <xdr:colOff>170818</xdr:colOff>
      <xdr:row>8</xdr:row>
      <xdr:rowOff>160536</xdr:rowOff>
    </xdr:from>
    <xdr:to>
      <xdr:col>6</xdr:col>
      <xdr:colOff>85013</xdr:colOff>
      <xdr:row>13</xdr:row>
      <xdr:rowOff>174296</xdr:rowOff>
    </xdr:to>
    <xdr:sp macro="" textlink="">
      <xdr:nvSpPr>
        <xdr:cNvPr id="10" name="Rectangle: Rounded Corners 9">
          <a:extLst>
            <a:ext uri="{FF2B5EF4-FFF2-40B4-BE49-F238E27FC236}">
              <a16:creationId xmlns:a16="http://schemas.microsoft.com/office/drawing/2014/main" id="{5F4B5B2E-FB01-4686-A266-4A3E71DA2E71}"/>
            </a:ext>
          </a:extLst>
        </xdr:cNvPr>
        <xdr:cNvSpPr/>
      </xdr:nvSpPr>
      <xdr:spPr>
        <a:xfrm>
          <a:off x="1989227" y="1661445"/>
          <a:ext cx="1732604" cy="951828"/>
        </a:xfrm>
        <a:prstGeom prst="roundRect">
          <a:avLst/>
        </a:prstGeom>
        <a:solidFill>
          <a:schemeClr val="accent6">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ctr"/>
          <a:r>
            <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rPr>
            <a:t>TOTAL </a:t>
          </a:r>
        </a:p>
        <a:p>
          <a:pPr marL="0" indent="0" algn="ctr"/>
          <a:r>
            <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rPr>
            <a:t>SALES </a:t>
          </a:r>
        </a:p>
        <a:p>
          <a:pPr marL="0" indent="0" algn="l"/>
          <a:endParaRPr lang="en-US" sz="1100">
            <a:solidFill>
              <a:schemeClr val="lt1"/>
            </a:solidFill>
            <a:latin typeface="+mn-lt"/>
            <a:ea typeface="+mn-ea"/>
            <a:cs typeface="+mn-cs"/>
          </a:endParaRPr>
        </a:p>
      </xdr:txBody>
    </xdr:sp>
    <xdr:clientData/>
  </xdr:twoCellAnchor>
  <xdr:twoCellAnchor>
    <xdr:from>
      <xdr:col>3</xdr:col>
      <xdr:colOff>393014</xdr:colOff>
      <xdr:row>11</xdr:row>
      <xdr:rowOff>172478</xdr:rowOff>
    </xdr:from>
    <xdr:to>
      <xdr:col>5</xdr:col>
      <xdr:colOff>389966</xdr:colOff>
      <xdr:row>13</xdr:row>
      <xdr:rowOff>65798</xdr:rowOff>
    </xdr:to>
    <xdr:sp macro="" textlink="'SALES ANALYSIS'!B5">
      <xdr:nvSpPr>
        <xdr:cNvPr id="11" name="TextBox 10">
          <a:extLst>
            <a:ext uri="{FF2B5EF4-FFF2-40B4-BE49-F238E27FC236}">
              <a16:creationId xmlns:a16="http://schemas.microsoft.com/office/drawing/2014/main" id="{A3EF15C4-09DA-4918-B6AA-E152DC4216A6}"/>
            </a:ext>
          </a:extLst>
        </xdr:cNvPr>
        <xdr:cNvSpPr txBox="1"/>
      </xdr:nvSpPr>
      <xdr:spPr>
        <a:xfrm>
          <a:off x="2211423" y="2236228"/>
          <a:ext cx="1209225" cy="268547"/>
        </a:xfrm>
        <a:prstGeom prst="rect">
          <a:avLst/>
        </a:prstGeom>
        <a:solidFill>
          <a:schemeClr val="accent6">
            <a:lumMod val="75000"/>
          </a:schemeClr>
        </a:solidFill>
        <a:ln>
          <a:solidFill>
            <a:schemeClr val="accent2"/>
          </a:solidFill>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pPr marL="0" indent="0" algn="ctr"/>
          <a:fld id="{5DD03FBB-F35D-4B73-969B-C9ECFF52126F}" type="TxLink">
            <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rPr>
            <a:pPr marL="0" indent="0" algn="ctr"/>
            <a:t>403702498</a:t>
          </a:fld>
          <a:endPar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endParaRPr>
        </a:p>
      </xdr:txBody>
    </xdr:sp>
    <xdr:clientData/>
  </xdr:twoCellAnchor>
  <xdr:twoCellAnchor>
    <xdr:from>
      <xdr:col>8</xdr:col>
      <xdr:colOff>236083</xdr:colOff>
      <xdr:row>12</xdr:row>
      <xdr:rowOff>4617</xdr:rowOff>
    </xdr:from>
    <xdr:to>
      <xdr:col>10</xdr:col>
      <xdr:colOff>233034</xdr:colOff>
      <xdr:row>13</xdr:row>
      <xdr:rowOff>85551</xdr:rowOff>
    </xdr:to>
    <xdr:sp macro="" textlink="'COST ANALYSIS'!K7">
      <xdr:nvSpPr>
        <xdr:cNvPr id="21" name="TextBox 20">
          <a:extLst>
            <a:ext uri="{FF2B5EF4-FFF2-40B4-BE49-F238E27FC236}">
              <a16:creationId xmlns:a16="http://schemas.microsoft.com/office/drawing/2014/main" id="{99255DB2-FE07-4279-8444-27760F2E1FCA}"/>
            </a:ext>
          </a:extLst>
        </xdr:cNvPr>
        <xdr:cNvSpPr txBox="1"/>
      </xdr:nvSpPr>
      <xdr:spPr>
        <a:xfrm>
          <a:off x="5085174" y="2255981"/>
          <a:ext cx="1209224" cy="268547"/>
        </a:xfrm>
        <a:prstGeom prst="rect">
          <a:avLst/>
        </a:prstGeom>
        <a:solidFill>
          <a:schemeClr val="accent6">
            <a:lumMod val="75000"/>
          </a:schemeClr>
        </a:solidFill>
        <a:ln>
          <a:solidFill>
            <a:schemeClr val="accent2"/>
          </a:solidFill>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pPr marL="0" indent="0" algn="ctr"/>
          <a:fld id="{175B1562-D133-4616-885C-CD37CEF3AB4C}" type="TxLink">
            <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rPr>
            <a:pPr marL="0" indent="0" algn="ctr"/>
            <a:t>288977558</a:t>
          </a:fld>
          <a:endPar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endParaRPr>
        </a:p>
      </xdr:txBody>
    </xdr:sp>
    <xdr:clientData/>
  </xdr:twoCellAnchor>
  <xdr:twoCellAnchor>
    <xdr:from>
      <xdr:col>12</xdr:col>
      <xdr:colOff>382443</xdr:colOff>
      <xdr:row>12</xdr:row>
      <xdr:rowOff>27706</xdr:rowOff>
    </xdr:from>
    <xdr:to>
      <xdr:col>14</xdr:col>
      <xdr:colOff>379395</xdr:colOff>
      <xdr:row>13</xdr:row>
      <xdr:rowOff>108640</xdr:rowOff>
    </xdr:to>
    <xdr:sp macro="" textlink="'PROFIT ANALYSIS'!D37">
      <xdr:nvSpPr>
        <xdr:cNvPr id="22" name="TextBox 21">
          <a:extLst>
            <a:ext uri="{FF2B5EF4-FFF2-40B4-BE49-F238E27FC236}">
              <a16:creationId xmlns:a16="http://schemas.microsoft.com/office/drawing/2014/main" id="{E5815E39-4D40-4935-8C21-C6D44C3DBD7E}"/>
            </a:ext>
          </a:extLst>
        </xdr:cNvPr>
        <xdr:cNvSpPr txBox="1"/>
      </xdr:nvSpPr>
      <xdr:spPr>
        <a:xfrm>
          <a:off x="7656079" y="2279070"/>
          <a:ext cx="1209225" cy="268547"/>
        </a:xfrm>
        <a:prstGeom prst="rect">
          <a:avLst/>
        </a:prstGeom>
        <a:solidFill>
          <a:schemeClr val="accent6">
            <a:lumMod val="75000"/>
          </a:schemeClr>
        </a:solidFill>
        <a:ln>
          <a:solidFill>
            <a:schemeClr val="accent2"/>
          </a:solidFill>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pPr marL="0" indent="0" algn="ctr"/>
          <a:fld id="{04490C70-F9A4-4038-95B1-7172938FFD6A}" type="TxLink">
            <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rPr>
            <a:pPr marL="0" indent="0" algn="ctr"/>
            <a:t>28%</a:t>
          </a:fld>
          <a:endPar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endParaRPr>
        </a:p>
      </xdr:txBody>
    </xdr:sp>
    <xdr:clientData/>
  </xdr:twoCellAnchor>
  <xdr:twoCellAnchor>
    <xdr:from>
      <xdr:col>21</xdr:col>
      <xdr:colOff>417368</xdr:colOff>
      <xdr:row>11</xdr:row>
      <xdr:rowOff>133639</xdr:rowOff>
    </xdr:from>
    <xdr:to>
      <xdr:col>23</xdr:col>
      <xdr:colOff>417369</xdr:colOff>
      <xdr:row>13</xdr:row>
      <xdr:rowOff>29846</xdr:rowOff>
    </xdr:to>
    <xdr:sp macro="" textlink="DISCOUNT!B6">
      <xdr:nvSpPr>
        <xdr:cNvPr id="23" name="TextBox 22">
          <a:extLst>
            <a:ext uri="{FF2B5EF4-FFF2-40B4-BE49-F238E27FC236}">
              <a16:creationId xmlns:a16="http://schemas.microsoft.com/office/drawing/2014/main" id="{D4A5F3E9-B9D7-4ABD-9572-AFCB7517C308}"/>
            </a:ext>
          </a:extLst>
        </xdr:cNvPr>
        <xdr:cNvSpPr txBox="1"/>
      </xdr:nvSpPr>
      <xdr:spPr>
        <a:xfrm>
          <a:off x="13146232" y="2197389"/>
          <a:ext cx="1212273" cy="271434"/>
        </a:xfrm>
        <a:prstGeom prst="rect">
          <a:avLst/>
        </a:prstGeom>
        <a:solidFill>
          <a:schemeClr val="accent6">
            <a:lumMod val="75000"/>
          </a:schemeClr>
        </a:solidFill>
        <a:ln>
          <a:solidFill>
            <a:schemeClr val="accent2"/>
          </a:solidFill>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pPr marL="0" indent="0" algn="ctr"/>
          <a:fld id="{E404B7DD-8D75-46CE-8DC7-BF9135A91771}" type="TxLink">
            <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rPr>
            <a:pPr marL="0" indent="0" algn="ctr"/>
            <a:t>46326907</a:t>
          </a:fld>
          <a:endPar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endParaRPr>
        </a:p>
      </xdr:txBody>
    </xdr:sp>
    <xdr:clientData/>
  </xdr:twoCellAnchor>
  <xdr:twoCellAnchor>
    <xdr:from>
      <xdr:col>0</xdr:col>
      <xdr:colOff>0</xdr:colOff>
      <xdr:row>0</xdr:row>
      <xdr:rowOff>133946</xdr:rowOff>
    </xdr:from>
    <xdr:to>
      <xdr:col>29</xdr:col>
      <xdr:colOff>155863</xdr:colOff>
      <xdr:row>7</xdr:row>
      <xdr:rowOff>133945</xdr:rowOff>
    </xdr:to>
    <xdr:sp macro="" textlink="">
      <xdr:nvSpPr>
        <xdr:cNvPr id="24" name="Flowchart: Terminator 23">
          <a:extLst>
            <a:ext uri="{FF2B5EF4-FFF2-40B4-BE49-F238E27FC236}">
              <a16:creationId xmlns:a16="http://schemas.microsoft.com/office/drawing/2014/main" id="{4589E14D-F703-6512-84CB-D12DE27E23FB}"/>
            </a:ext>
          </a:extLst>
        </xdr:cNvPr>
        <xdr:cNvSpPr/>
      </xdr:nvSpPr>
      <xdr:spPr>
        <a:xfrm>
          <a:off x="0" y="133946"/>
          <a:ext cx="17733818" cy="1333499"/>
        </a:xfrm>
        <a:prstGeom prst="flowChartTerminator">
          <a:avLst/>
        </a:prstGeom>
        <a:solidFill>
          <a:schemeClr val="accent6">
            <a:lumMod val="75000"/>
          </a:schemeClr>
        </a:solidFill>
        <a:ln>
          <a:noFill/>
        </a:ln>
        <a:effectLst>
          <a:glow rad="228600">
            <a:schemeClr val="accent6">
              <a:satMod val="175000"/>
              <a:alpha val="40000"/>
            </a:schemeClr>
          </a:glow>
          <a:outerShdw blurRad="63500" sx="102000" sy="102000" algn="ctr" rotWithShape="0">
            <a:prstClr val="black">
              <a:alpha val="40000"/>
            </a:prstClr>
          </a:outerShdw>
          <a:reflection blurRad="6350" stA="50000" endA="300" endPos="55000" dir="5400000" sy="-100000" algn="bl" rotWithShape="0"/>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208360</xdr:colOff>
      <xdr:row>1</xdr:row>
      <xdr:rowOff>129886</xdr:rowOff>
    </xdr:from>
    <xdr:to>
      <xdr:col>22</xdr:col>
      <xdr:colOff>476250</xdr:colOff>
      <xdr:row>6</xdr:row>
      <xdr:rowOff>29766</xdr:rowOff>
    </xdr:to>
    <xdr:sp macro="" textlink="">
      <xdr:nvSpPr>
        <xdr:cNvPr id="25" name="TextBox 24">
          <a:extLst>
            <a:ext uri="{FF2B5EF4-FFF2-40B4-BE49-F238E27FC236}">
              <a16:creationId xmlns:a16="http://schemas.microsoft.com/office/drawing/2014/main" id="{2E9685B3-23E0-0D11-C5F2-861595A25984}"/>
            </a:ext>
          </a:extLst>
        </xdr:cNvPr>
        <xdr:cNvSpPr txBox="1"/>
      </xdr:nvSpPr>
      <xdr:spPr>
        <a:xfrm>
          <a:off x="2632905" y="317500"/>
          <a:ext cx="11178345" cy="837948"/>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effectLst>
                <a:glow rad="228600">
                  <a:schemeClr val="accent6">
                    <a:lumMod val="40000"/>
                    <a:lumOff val="60000"/>
                    <a:alpha val="40000"/>
                  </a:schemeClr>
                </a:glow>
                <a:reflection blurRad="6350" stA="50000" endA="300" endPos="50000" dist="29997" dir="5400000" sy="-100000" algn="bl" rotWithShape="0"/>
              </a:effectLst>
              <a:latin typeface="Blackoak Std" panose="04050907060602020202" pitchFamily="82" charset="0"/>
            </a:rPr>
            <a:t>2024</a:t>
          </a:r>
          <a:r>
            <a:rPr lang="en-US" sz="2000">
              <a:solidFill>
                <a:schemeClr val="bg1"/>
              </a:solidFill>
              <a:effectLst>
                <a:glow rad="228600">
                  <a:schemeClr val="accent6">
                    <a:lumMod val="40000"/>
                    <a:lumOff val="60000"/>
                    <a:alpha val="40000"/>
                  </a:schemeClr>
                </a:glow>
                <a:reflection blurRad="6350" stA="55000" endA="300" endPos="45500" dir="5400000" sy="-100000" algn="bl" rotWithShape="0"/>
              </a:effectLst>
              <a:latin typeface="Blackoak Std" panose="04050907060602020202" pitchFamily="82" charset="0"/>
            </a:rPr>
            <a:t> SALES PERFORMANCE DASHBOARD</a:t>
          </a:r>
        </a:p>
        <a:p>
          <a:pPr algn="ctr"/>
          <a:endParaRPr lang="en-US" sz="2000">
            <a:latin typeface="Blackoak Std" panose="04050907060602020202" pitchFamily="82" charset="0"/>
          </a:endParaRPr>
        </a:p>
      </xdr:txBody>
    </xdr:sp>
    <xdr:clientData/>
  </xdr:twoCellAnchor>
  <xdr:twoCellAnchor>
    <xdr:from>
      <xdr:col>20</xdr:col>
      <xdr:colOff>481198</xdr:colOff>
      <xdr:row>14</xdr:row>
      <xdr:rowOff>68860</xdr:rowOff>
    </xdr:from>
    <xdr:to>
      <xdr:col>28</xdr:col>
      <xdr:colOff>491445</xdr:colOff>
      <xdr:row>27</xdr:row>
      <xdr:rowOff>139965</xdr:rowOff>
    </xdr:to>
    <xdr:sp macro="" textlink="">
      <xdr:nvSpPr>
        <xdr:cNvPr id="26" name="Rectangle: Rounded Corners 25">
          <a:extLst>
            <a:ext uri="{FF2B5EF4-FFF2-40B4-BE49-F238E27FC236}">
              <a16:creationId xmlns:a16="http://schemas.microsoft.com/office/drawing/2014/main" id="{222F7390-DC2A-4ACD-B08C-2582C811F1DA}"/>
            </a:ext>
          </a:extLst>
        </xdr:cNvPr>
        <xdr:cNvSpPr/>
      </xdr:nvSpPr>
      <xdr:spPr>
        <a:xfrm>
          <a:off x="12603925" y="2695451"/>
          <a:ext cx="4859338" cy="2510082"/>
        </a:xfrm>
        <a:prstGeom prst="roundRect">
          <a:avLst/>
        </a:prstGeom>
        <a:solidFill>
          <a:schemeClr val="accent6">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548409</xdr:colOff>
      <xdr:row>28</xdr:row>
      <xdr:rowOff>144318</xdr:rowOff>
    </xdr:from>
    <xdr:to>
      <xdr:col>28</xdr:col>
      <xdr:colOff>558656</xdr:colOff>
      <xdr:row>42</xdr:row>
      <xdr:rowOff>27809</xdr:rowOff>
    </xdr:to>
    <xdr:sp macro="" textlink="">
      <xdr:nvSpPr>
        <xdr:cNvPr id="29" name="Rectangle: Rounded Corners 28">
          <a:extLst>
            <a:ext uri="{FF2B5EF4-FFF2-40B4-BE49-F238E27FC236}">
              <a16:creationId xmlns:a16="http://schemas.microsoft.com/office/drawing/2014/main" id="{84DA705D-8DC4-4FDA-9AFA-DAC31A7AA2B4}"/>
            </a:ext>
          </a:extLst>
        </xdr:cNvPr>
        <xdr:cNvSpPr/>
      </xdr:nvSpPr>
      <xdr:spPr>
        <a:xfrm>
          <a:off x="12671136" y="5397500"/>
          <a:ext cx="4859338" cy="2510082"/>
        </a:xfrm>
        <a:prstGeom prst="roundRect">
          <a:avLst/>
        </a:prstGeom>
        <a:solidFill>
          <a:schemeClr val="accent6">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115454</xdr:colOff>
      <xdr:row>15</xdr:row>
      <xdr:rowOff>28863</xdr:rowOff>
    </xdr:from>
    <xdr:to>
      <xdr:col>28</xdr:col>
      <xdr:colOff>247403</xdr:colOff>
      <xdr:row>27</xdr:row>
      <xdr:rowOff>28864</xdr:rowOff>
    </xdr:to>
    <xdr:graphicFrame macro="">
      <xdr:nvGraphicFramePr>
        <xdr:cNvPr id="31" name="Chart 30">
          <a:extLst>
            <a:ext uri="{FF2B5EF4-FFF2-40B4-BE49-F238E27FC236}">
              <a16:creationId xmlns:a16="http://schemas.microsoft.com/office/drawing/2014/main" id="{849229DF-99EA-4A6F-90B8-0E9C1286F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577272</xdr:colOff>
      <xdr:row>8</xdr:row>
      <xdr:rowOff>101022</xdr:rowOff>
    </xdr:from>
    <xdr:to>
      <xdr:col>27</xdr:col>
      <xdr:colOff>486813</xdr:colOff>
      <xdr:row>13</xdr:row>
      <xdr:rowOff>114783</xdr:rowOff>
    </xdr:to>
    <xdr:sp macro="" textlink="">
      <xdr:nvSpPr>
        <xdr:cNvPr id="32" name="Rectangle: Rounded Corners 31">
          <a:extLst>
            <a:ext uri="{FF2B5EF4-FFF2-40B4-BE49-F238E27FC236}">
              <a16:creationId xmlns:a16="http://schemas.microsoft.com/office/drawing/2014/main" id="{5F2719ED-B420-4502-9FC6-1FAAABE425D6}"/>
            </a:ext>
          </a:extLst>
        </xdr:cNvPr>
        <xdr:cNvSpPr/>
      </xdr:nvSpPr>
      <xdr:spPr>
        <a:xfrm>
          <a:off x="15124545" y="1601931"/>
          <a:ext cx="1727950" cy="951829"/>
        </a:xfrm>
        <a:prstGeom prst="roundRect">
          <a:avLst/>
        </a:prstGeom>
        <a:solidFill>
          <a:schemeClr val="accent6">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ctr"/>
          <a:r>
            <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rPr>
            <a:t>TOTAL </a:t>
          </a:r>
        </a:p>
        <a:p>
          <a:pPr marL="0" indent="0" algn="ctr"/>
          <a:r>
            <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rPr>
            <a:t>PROFIT</a:t>
          </a:r>
        </a:p>
        <a:p>
          <a:pPr marL="0" indent="0" algn="l"/>
          <a:endParaRPr lang="en-US" sz="1100">
            <a:solidFill>
              <a:schemeClr val="lt1"/>
            </a:solidFill>
            <a:latin typeface="+mn-lt"/>
            <a:ea typeface="+mn-ea"/>
            <a:cs typeface="+mn-cs"/>
          </a:endParaRPr>
        </a:p>
      </xdr:txBody>
    </xdr:sp>
    <xdr:clientData/>
  </xdr:twoCellAnchor>
  <xdr:twoCellAnchor>
    <xdr:from>
      <xdr:col>25</xdr:col>
      <xdr:colOff>244187</xdr:colOff>
      <xdr:row>11</xdr:row>
      <xdr:rowOff>104775</xdr:rowOff>
    </xdr:from>
    <xdr:to>
      <xdr:col>27</xdr:col>
      <xdr:colOff>241139</xdr:colOff>
      <xdr:row>12</xdr:row>
      <xdr:rowOff>185708</xdr:rowOff>
    </xdr:to>
    <xdr:sp macro="" textlink="'PROFIT ANALYSIS'!B7">
      <xdr:nvSpPr>
        <xdr:cNvPr id="35" name="TextBox 34">
          <a:extLst>
            <a:ext uri="{FF2B5EF4-FFF2-40B4-BE49-F238E27FC236}">
              <a16:creationId xmlns:a16="http://schemas.microsoft.com/office/drawing/2014/main" id="{C863759D-5659-472B-9690-A677A3F76661}"/>
            </a:ext>
          </a:extLst>
        </xdr:cNvPr>
        <xdr:cNvSpPr txBox="1"/>
      </xdr:nvSpPr>
      <xdr:spPr>
        <a:xfrm>
          <a:off x="15397596" y="2168525"/>
          <a:ext cx="1209225" cy="268547"/>
        </a:xfrm>
        <a:prstGeom prst="rect">
          <a:avLst/>
        </a:prstGeom>
        <a:solidFill>
          <a:schemeClr val="accent6">
            <a:lumMod val="75000"/>
          </a:schemeClr>
        </a:solidFill>
        <a:ln>
          <a:solidFill>
            <a:schemeClr val="accent2"/>
          </a:solidFill>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pPr marL="0" indent="0" algn="ctr"/>
          <a:fld id="{8DEB3B5A-6AFA-498F-8274-67FEB019992B}" type="TxLink">
            <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rPr>
            <a:pPr marL="0" indent="0" algn="ctr"/>
            <a:t>114724939</a:t>
          </a:fld>
          <a:endPar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endParaRPr>
        </a:p>
      </xdr:txBody>
    </xdr:sp>
    <xdr:clientData/>
  </xdr:twoCellAnchor>
  <xdr:oneCellAnchor>
    <xdr:from>
      <xdr:col>18</xdr:col>
      <xdr:colOff>19050</xdr:colOff>
      <xdr:row>12</xdr:row>
      <xdr:rowOff>28575</xdr:rowOff>
    </xdr:from>
    <xdr:ext cx="184731" cy="264560"/>
    <xdr:sp macro="" textlink="">
      <xdr:nvSpPr>
        <xdr:cNvPr id="36" name="TextBox 35">
          <a:extLst>
            <a:ext uri="{FF2B5EF4-FFF2-40B4-BE49-F238E27FC236}">
              <a16:creationId xmlns:a16="http://schemas.microsoft.com/office/drawing/2014/main" id="{1A079C61-9AE4-724F-7E32-569524ABFC7F}"/>
            </a:ext>
          </a:extLst>
        </xdr:cNvPr>
        <xdr:cNvSpPr txBox="1"/>
      </xdr:nvSpPr>
      <xdr:spPr>
        <a:xfrm>
          <a:off x="10991850" y="2314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14432</xdr:colOff>
      <xdr:row>14</xdr:row>
      <xdr:rowOff>28865</xdr:rowOff>
    </xdr:from>
    <xdr:to>
      <xdr:col>3</xdr:col>
      <xdr:colOff>14432</xdr:colOff>
      <xdr:row>42</xdr:row>
      <xdr:rowOff>115455</xdr:rowOff>
    </xdr:to>
    <xdr:sp macro="" textlink="">
      <xdr:nvSpPr>
        <xdr:cNvPr id="42" name="Rectangle: Rounded Corners 41">
          <a:extLst>
            <a:ext uri="{FF2B5EF4-FFF2-40B4-BE49-F238E27FC236}">
              <a16:creationId xmlns:a16="http://schemas.microsoft.com/office/drawing/2014/main" id="{034D3626-D659-1A87-326D-7C6331F1A104}"/>
            </a:ext>
          </a:extLst>
        </xdr:cNvPr>
        <xdr:cNvSpPr/>
      </xdr:nvSpPr>
      <xdr:spPr>
        <a:xfrm>
          <a:off x="14432" y="2655456"/>
          <a:ext cx="1818409" cy="5339772"/>
        </a:xfrm>
        <a:prstGeom prst="roundRect">
          <a:avLst/>
        </a:prstGeom>
        <a:solidFill>
          <a:schemeClr val="accent6">
            <a:lumMod val="75000"/>
          </a:schemeClr>
        </a:solidFill>
        <a:ln>
          <a:noFill/>
        </a:ln>
        <a:effectLst>
          <a:glow rad="228600">
            <a:schemeClr val="accent6">
              <a:satMod val="175000"/>
              <a:alpha val="40000"/>
            </a:schemeClr>
          </a:glow>
          <a:outerShdw blurRad="63500" sx="102000" sy="102000" algn="ctr" rotWithShape="0">
            <a:prstClr val="black">
              <a:alpha val="40000"/>
            </a:prstClr>
          </a:outerShdw>
          <a:reflection blurRad="6350" stA="50000" endA="300" endPos="55000" dir="5400000" sy="-100000" algn="bl" rotWithShape="0"/>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86591</xdr:colOff>
      <xdr:row>15</xdr:row>
      <xdr:rowOff>72160</xdr:rowOff>
    </xdr:from>
    <xdr:to>
      <xdr:col>2</xdr:col>
      <xdr:colOff>505113</xdr:colOff>
      <xdr:row>34</xdr:row>
      <xdr:rowOff>173181</xdr:rowOff>
    </xdr:to>
    <mc:AlternateContent xmlns:mc="http://schemas.openxmlformats.org/markup-compatibility/2006" xmlns:a14="http://schemas.microsoft.com/office/drawing/2010/main">
      <mc:Choice Requires="a14">
        <xdr:graphicFrame macro="">
          <xdr:nvGraphicFramePr>
            <xdr:cNvPr id="45" name="Months (Order_Date) 1">
              <a:extLst>
                <a:ext uri="{FF2B5EF4-FFF2-40B4-BE49-F238E27FC236}">
                  <a16:creationId xmlns:a16="http://schemas.microsoft.com/office/drawing/2014/main" id="{FA696BEA-78C5-4C09-ABD3-3E874F2F2F6A}"/>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86591" y="2886365"/>
              <a:ext cx="1630795" cy="3665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115454</xdr:colOff>
      <xdr:row>35</xdr:row>
      <xdr:rowOff>72161</xdr:rowOff>
    </xdr:from>
    <xdr:to>
      <xdr:col>2</xdr:col>
      <xdr:colOff>533976</xdr:colOff>
      <xdr:row>41</xdr:row>
      <xdr:rowOff>173183</xdr:rowOff>
    </xdr:to>
    <mc:AlternateContent xmlns:mc="http://schemas.openxmlformats.org/markup-compatibility/2006" xmlns:a14="http://schemas.microsoft.com/office/drawing/2010/main">
      <mc:Choice Requires="a14">
        <xdr:graphicFrame macro="">
          <xdr:nvGraphicFramePr>
            <xdr:cNvPr id="46" name="Sales_Channel 1">
              <a:extLst>
                <a:ext uri="{FF2B5EF4-FFF2-40B4-BE49-F238E27FC236}">
                  <a16:creationId xmlns:a16="http://schemas.microsoft.com/office/drawing/2014/main" id="{9A717A6B-FE8A-4828-925D-F23D4175DB86}"/>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15454" y="6638638"/>
              <a:ext cx="1630795" cy="1226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86591</xdr:rowOff>
    </xdr:from>
    <xdr:to>
      <xdr:col>3</xdr:col>
      <xdr:colOff>0</xdr:colOff>
      <xdr:row>15</xdr:row>
      <xdr:rowOff>28863</xdr:rowOff>
    </xdr:to>
    <xdr:pic>
      <xdr:nvPicPr>
        <xdr:cNvPr id="54" name="Picture 53">
          <a:extLst>
            <a:ext uri="{FF2B5EF4-FFF2-40B4-BE49-F238E27FC236}">
              <a16:creationId xmlns:a16="http://schemas.microsoft.com/office/drawing/2014/main" id="{04920A6E-ED06-5044-C814-A0058858CF8E}"/>
            </a:ext>
          </a:extLst>
        </xdr:cNvPr>
        <xdr:cNvPicPr>
          <a:picLocks noChangeAspect="1"/>
        </xdr:cNvPicPr>
      </xdr:nvPicPr>
      <xdr:blipFill>
        <a:blip xmlns:r="http://schemas.openxmlformats.org/officeDocument/2006/relationships" r:embed="rId2">
          <a:duotone>
            <a:schemeClr val="accent6">
              <a:shade val="45000"/>
              <a:satMod val="135000"/>
            </a:schemeClr>
            <a:prstClr val="white"/>
          </a:duotone>
          <a:extLst>
            <a:ext uri="{BEBA8EAE-BF5A-486C-A8C5-ECC9F3942E4B}">
              <a14:imgProps xmlns:a14="http://schemas.microsoft.com/office/drawing/2010/main">
                <a14:imgLayer r:embed="rId3">
                  <a14:imgEffect>
                    <a14:backgroundRemoval t="10000" b="90000" l="10000" r="90000"/>
                  </a14:imgEffect>
                  <a14:imgEffect>
                    <a14:artisticPhotocopy/>
                  </a14:imgEffect>
                </a14:imgLayer>
              </a14:imgProps>
            </a:ext>
            <a:ext uri="{28A0092B-C50C-407E-A947-70E740481C1C}">
              <a14:useLocalDpi xmlns:a14="http://schemas.microsoft.com/office/drawing/2010/main" val="0"/>
            </a:ext>
          </a:extLst>
        </a:blip>
        <a:stretch>
          <a:fillRect/>
        </a:stretch>
      </xdr:blipFill>
      <xdr:spPr>
        <a:xfrm>
          <a:off x="0" y="1024659"/>
          <a:ext cx="1818409" cy="1818409"/>
        </a:xfrm>
        <a:prstGeom prst="rect">
          <a:avLst/>
        </a:prstGeom>
        <a:effectLst>
          <a:glow rad="228600">
            <a:schemeClr val="accent6">
              <a:satMod val="175000"/>
              <a:alpha val="40000"/>
            </a:schemeClr>
          </a:glow>
        </a:effectLst>
      </xdr:spPr>
    </xdr:pic>
    <xdr:clientData/>
  </xdr:twoCellAnchor>
  <xdr:twoCellAnchor editAs="oneCell">
    <xdr:from>
      <xdr:col>0</xdr:col>
      <xdr:colOff>476251</xdr:colOff>
      <xdr:row>2</xdr:row>
      <xdr:rowOff>43296</xdr:rowOff>
    </xdr:from>
    <xdr:to>
      <xdr:col>3</xdr:col>
      <xdr:colOff>533978</xdr:colOff>
      <xdr:row>6</xdr:row>
      <xdr:rowOff>28863</xdr:rowOff>
    </xdr:to>
    <xdr:pic>
      <xdr:nvPicPr>
        <xdr:cNvPr id="58" name="Picture 57">
          <a:extLst>
            <a:ext uri="{FF2B5EF4-FFF2-40B4-BE49-F238E27FC236}">
              <a16:creationId xmlns:a16="http://schemas.microsoft.com/office/drawing/2014/main" id="{4C5547F5-2C89-45A0-A959-7D096742C78B}"/>
            </a:ext>
          </a:extLst>
        </xdr:cNvPr>
        <xdr:cNvPicPr>
          <a:picLocks noChangeAspect="1"/>
        </xdr:cNvPicPr>
      </xdr:nvPicPr>
      <xdr:blipFill>
        <a:blip xmlns:r="http://schemas.openxmlformats.org/officeDocument/2006/relationships" r:embed="rId4">
          <a:duotone>
            <a:prstClr val="black"/>
            <a:schemeClr val="accent6">
              <a:tint val="45000"/>
              <a:satMod val="400000"/>
            </a:schemeClr>
          </a:duotone>
          <a:extLst>
            <a:ext uri="{BEBA8EAE-BF5A-486C-A8C5-ECC9F3942E4B}">
              <a14:imgProps xmlns:a14="http://schemas.microsoft.com/office/drawing/2010/main">
                <a14:imgLayer r:embed="rId5">
                  <a14:imgEffect>
                    <a14:backgroundRemoval t="10000" b="90000" l="10000" r="90000">
                      <a14:backgroundMark x1="37838" y1="79897" x2="81853" y2="67010"/>
                      <a14:backgroundMark x1="81467" y1="66495" x2="78378" y2="78351"/>
                      <a14:backgroundMark x1="78378" y1="79897" x2="78378" y2="79897"/>
                      <a14:backgroundMark x1="78378" y1="80412" x2="78378" y2="80412"/>
                      <a14:backgroundMark x1="80309" y1="64948" x2="80695" y2="19588"/>
                      <a14:backgroundMark x1="78378" y1="20103" x2="15830" y2="28866"/>
                      <a14:backgroundMark x1="15058" y1="31959" x2="28571" y2="79897"/>
                      <a14:backgroundMark x1="29730" y1="80412" x2="44015" y2="81959"/>
                      <a14:backgroundMark x1="30502" y1="77320" x2="30502" y2="77320"/>
                    </a14:backgroundRemoval>
                  </a14:imgEffect>
                  <a14:imgEffect>
                    <a14:brightnessContrast contrast="20000"/>
                  </a14:imgEffect>
                </a14:imgLayer>
              </a14:imgProps>
            </a:ext>
            <a:ext uri="{28A0092B-C50C-407E-A947-70E740481C1C}">
              <a14:useLocalDpi xmlns:a14="http://schemas.microsoft.com/office/drawing/2010/main" val="0"/>
            </a:ext>
          </a:extLst>
        </a:blip>
        <a:stretch>
          <a:fillRect/>
        </a:stretch>
      </xdr:blipFill>
      <xdr:spPr>
        <a:xfrm>
          <a:off x="476251" y="418523"/>
          <a:ext cx="1876136" cy="736022"/>
        </a:xfrm>
        <a:prstGeom prst="ellipse">
          <a:avLst/>
        </a:prstGeom>
        <a:ln w="63500" cap="rnd">
          <a:solidFill>
            <a:schemeClr val="accent6">
              <a:lumMod val="60000"/>
              <a:lumOff val="40000"/>
            </a:schemeClr>
          </a:solidFill>
        </a:ln>
        <a:effectLst>
          <a:glow rad="228600">
            <a:schemeClr val="accent6">
              <a:satMod val="175000"/>
              <a:alpha val="40000"/>
            </a:schemeClr>
          </a:glow>
          <a:outerShdw blurRad="381000" dist="292100" dir="5400000" sx="-80000" sy="-18000" rotWithShape="0">
            <a:srgbClr val="000000">
              <a:alpha val="22000"/>
            </a:srgbClr>
          </a:outerShdw>
          <a:reflection blurRad="6350" stA="50000" endA="300" endPos="55500" dist="101600" dir="5400000" sy="-100000" algn="bl" rotWithShape="0"/>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23</xdr:col>
      <xdr:colOff>418523</xdr:colOff>
      <xdr:row>2</xdr:row>
      <xdr:rowOff>115455</xdr:rowOff>
    </xdr:from>
    <xdr:to>
      <xdr:col>29</xdr:col>
      <xdr:colOff>28863</xdr:colOff>
      <xdr:row>6</xdr:row>
      <xdr:rowOff>14431</xdr:rowOff>
    </xdr:to>
    <xdr:sp macro="" textlink="">
      <xdr:nvSpPr>
        <xdr:cNvPr id="60" name="Flowchart: Sort 59">
          <a:extLst>
            <a:ext uri="{FF2B5EF4-FFF2-40B4-BE49-F238E27FC236}">
              <a16:creationId xmlns:a16="http://schemas.microsoft.com/office/drawing/2014/main" id="{1845B8C8-FE67-F3A0-6239-B3F6C0D4BAD9}"/>
            </a:ext>
          </a:extLst>
        </xdr:cNvPr>
        <xdr:cNvSpPr/>
      </xdr:nvSpPr>
      <xdr:spPr>
        <a:xfrm>
          <a:off x="14359659" y="490682"/>
          <a:ext cx="3247159" cy="649431"/>
        </a:xfrm>
        <a:prstGeom prst="flowChartSort">
          <a:avLst/>
        </a:prstGeom>
        <a:solidFill>
          <a:schemeClr val="accent6">
            <a:lumMod val="75000"/>
          </a:schemeClr>
        </a:solidFill>
        <a:ln>
          <a:solidFill>
            <a:schemeClr val="accent6">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317500</xdr:colOff>
      <xdr:row>8</xdr:row>
      <xdr:rowOff>144318</xdr:rowOff>
    </xdr:from>
    <xdr:to>
      <xdr:col>19</xdr:col>
      <xdr:colOff>231695</xdr:colOff>
      <xdr:row>13</xdr:row>
      <xdr:rowOff>158079</xdr:rowOff>
    </xdr:to>
    <xdr:sp macro="" textlink="">
      <xdr:nvSpPr>
        <xdr:cNvPr id="61" name="Rectangle: Rounded Corners 60">
          <a:extLst>
            <a:ext uri="{FF2B5EF4-FFF2-40B4-BE49-F238E27FC236}">
              <a16:creationId xmlns:a16="http://schemas.microsoft.com/office/drawing/2014/main" id="{9F0243F2-598A-4160-87F3-CE46EC2B0D78}"/>
            </a:ext>
          </a:extLst>
        </xdr:cNvPr>
        <xdr:cNvSpPr/>
      </xdr:nvSpPr>
      <xdr:spPr>
        <a:xfrm>
          <a:off x="10015682" y="1645227"/>
          <a:ext cx="1732604" cy="951829"/>
        </a:xfrm>
        <a:prstGeom prst="roundRect">
          <a:avLst/>
        </a:prstGeom>
        <a:solidFill>
          <a:schemeClr val="accent6">
            <a:lumMod val="60000"/>
            <a:lumOff val="4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ctr"/>
          <a:r>
            <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rPr>
            <a:t>TOTAL NUMBER OF ORDER</a:t>
          </a:r>
        </a:p>
        <a:p>
          <a:pPr marL="0" indent="0" algn="ctr"/>
          <a:endPar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endParaRPr>
        </a:p>
        <a:p>
          <a:pPr marL="0" indent="0" algn="l"/>
          <a:endParaRPr lang="en-US" sz="1100">
            <a:solidFill>
              <a:schemeClr val="lt1"/>
            </a:solidFill>
            <a:latin typeface="+mn-lt"/>
            <a:ea typeface="+mn-ea"/>
            <a:cs typeface="+mn-cs"/>
          </a:endParaRPr>
        </a:p>
        <a:p>
          <a:pPr marL="0" indent="0" algn="l"/>
          <a:endParaRPr lang="en-US" sz="1100">
            <a:solidFill>
              <a:schemeClr val="lt1"/>
            </a:solidFill>
            <a:latin typeface="+mn-lt"/>
            <a:ea typeface="+mn-ea"/>
            <a:cs typeface="+mn-cs"/>
          </a:endParaRPr>
        </a:p>
      </xdr:txBody>
    </xdr:sp>
    <xdr:clientData/>
  </xdr:twoCellAnchor>
  <xdr:twoCellAnchor>
    <xdr:from>
      <xdr:col>17</xdr:col>
      <xdr:colOff>0</xdr:colOff>
      <xdr:row>11</xdr:row>
      <xdr:rowOff>158751</xdr:rowOff>
    </xdr:from>
    <xdr:to>
      <xdr:col>18</xdr:col>
      <xdr:colOff>603088</xdr:colOff>
      <xdr:row>13</xdr:row>
      <xdr:rowOff>52071</xdr:rowOff>
    </xdr:to>
    <xdr:sp macro="" textlink="'SALES ANALYSIS'!H37">
      <xdr:nvSpPr>
        <xdr:cNvPr id="62" name="TextBox 61">
          <a:extLst>
            <a:ext uri="{FF2B5EF4-FFF2-40B4-BE49-F238E27FC236}">
              <a16:creationId xmlns:a16="http://schemas.microsoft.com/office/drawing/2014/main" id="{BBA8DAB7-EBA0-4673-9F2A-5B3DCD180913}"/>
            </a:ext>
          </a:extLst>
        </xdr:cNvPr>
        <xdr:cNvSpPr txBox="1"/>
      </xdr:nvSpPr>
      <xdr:spPr>
        <a:xfrm>
          <a:off x="10304318" y="2222501"/>
          <a:ext cx="1209225" cy="268547"/>
        </a:xfrm>
        <a:prstGeom prst="rect">
          <a:avLst/>
        </a:prstGeom>
        <a:solidFill>
          <a:schemeClr val="accent6">
            <a:lumMod val="75000"/>
          </a:schemeClr>
        </a:solidFill>
        <a:ln>
          <a:solidFill>
            <a:schemeClr val="accent2"/>
          </a:solidFill>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pPr marL="0" indent="0" algn="ctr"/>
          <a:fld id="{58876315-6B72-436F-B051-7B15B33B103B}" type="TxLink">
            <a:rPr lang="en-US" sz="1100" b="0" i="0" u="none" strike="noStrike" cap="none" spc="0">
              <a:ln w="10160">
                <a:solidFill>
                  <a:schemeClr val="bg1"/>
                </a:solidFill>
                <a:prstDash val="solid"/>
              </a:ln>
              <a:solidFill>
                <a:srgbClr val="000000"/>
              </a:solidFill>
              <a:effectLst>
                <a:outerShdw blurRad="38100" dist="22860" dir="5400000" algn="tl" rotWithShape="0">
                  <a:srgbClr val="000000">
                    <a:alpha val="30000"/>
                  </a:srgbClr>
                </a:outerShdw>
              </a:effectLst>
              <a:latin typeface="Calibri"/>
              <a:ea typeface="+mn-ea"/>
              <a:cs typeface="Calibri"/>
            </a:rPr>
            <a:pPr marL="0" indent="0" algn="ctr"/>
            <a:t>311</a:t>
          </a:fld>
          <a:endPar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endParaRPr>
        </a:p>
      </xdr:txBody>
    </xdr:sp>
    <xdr:clientData/>
  </xdr:twoCellAnchor>
  <xdr:twoCellAnchor>
    <xdr:from>
      <xdr:col>3</xdr:col>
      <xdr:colOff>280067</xdr:colOff>
      <xdr:row>15</xdr:row>
      <xdr:rowOff>59982</xdr:rowOff>
    </xdr:from>
    <xdr:to>
      <xdr:col>10</xdr:col>
      <xdr:colOff>471000</xdr:colOff>
      <xdr:row>26</xdr:row>
      <xdr:rowOff>164180</xdr:rowOff>
    </xdr:to>
    <xdr:graphicFrame macro="">
      <xdr:nvGraphicFramePr>
        <xdr:cNvPr id="4" name="Chart 3">
          <a:extLst>
            <a:ext uri="{FF2B5EF4-FFF2-40B4-BE49-F238E27FC236}">
              <a16:creationId xmlns:a16="http://schemas.microsoft.com/office/drawing/2014/main" id="{A3BCE11B-9333-4DAD-A657-D58AED8EF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187613</xdr:colOff>
      <xdr:row>29</xdr:row>
      <xdr:rowOff>144319</xdr:rowOff>
    </xdr:from>
    <xdr:to>
      <xdr:col>28</xdr:col>
      <xdr:colOff>336441</xdr:colOff>
      <xdr:row>40</xdr:row>
      <xdr:rowOff>184458</xdr:rowOff>
    </xdr:to>
    <xdr:graphicFrame macro="">
      <xdr:nvGraphicFramePr>
        <xdr:cNvPr id="12" name="Chart 11">
          <a:extLst>
            <a:ext uri="{FF2B5EF4-FFF2-40B4-BE49-F238E27FC236}">
              <a16:creationId xmlns:a16="http://schemas.microsoft.com/office/drawing/2014/main" id="{65366308-3138-4157-A56A-44D0BFEF9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277091</xdr:colOff>
      <xdr:row>15</xdr:row>
      <xdr:rowOff>138545</xdr:rowOff>
    </xdr:from>
    <xdr:to>
      <xdr:col>19</xdr:col>
      <xdr:colOff>420185</xdr:colOff>
      <xdr:row>27</xdr:row>
      <xdr:rowOff>51955</xdr:rowOff>
    </xdr:to>
    <xdr:graphicFrame macro="">
      <xdr:nvGraphicFramePr>
        <xdr:cNvPr id="13" name="Chart 12">
          <a:extLst>
            <a:ext uri="{FF2B5EF4-FFF2-40B4-BE49-F238E27FC236}">
              <a16:creationId xmlns:a16="http://schemas.microsoft.com/office/drawing/2014/main" id="{EDE102A5-7F51-4304-B693-5F0CA78F1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196526</xdr:colOff>
      <xdr:row>29</xdr:row>
      <xdr:rowOff>158749</xdr:rowOff>
    </xdr:from>
    <xdr:to>
      <xdr:col>19</xdr:col>
      <xdr:colOff>470443</xdr:colOff>
      <xdr:row>41</xdr:row>
      <xdr:rowOff>43780</xdr:rowOff>
    </xdr:to>
    <xdr:graphicFrame macro="">
      <xdr:nvGraphicFramePr>
        <xdr:cNvPr id="19" name="Chart 18">
          <a:extLst>
            <a:ext uri="{FF2B5EF4-FFF2-40B4-BE49-F238E27FC236}">
              <a16:creationId xmlns:a16="http://schemas.microsoft.com/office/drawing/2014/main" id="{DD00D94B-6622-4961-800B-D8387C906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352011</xdr:colOff>
      <xdr:row>29</xdr:row>
      <xdr:rowOff>87999</xdr:rowOff>
    </xdr:from>
    <xdr:to>
      <xdr:col>10</xdr:col>
      <xdr:colOff>510761</xdr:colOff>
      <xdr:row>41</xdr:row>
      <xdr:rowOff>59135</xdr:rowOff>
    </xdr:to>
    <xdr:graphicFrame macro="">
      <xdr:nvGraphicFramePr>
        <xdr:cNvPr id="20" name="Chart 19">
          <a:extLst>
            <a:ext uri="{FF2B5EF4-FFF2-40B4-BE49-F238E27FC236}">
              <a16:creationId xmlns:a16="http://schemas.microsoft.com/office/drawing/2014/main" id="{97A6DE95-D31D-4358-9885-6D2CA2503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196782</xdr:colOff>
      <xdr:row>5</xdr:row>
      <xdr:rowOff>190563</xdr:rowOff>
    </xdr:from>
    <xdr:to>
      <xdr:col>11</xdr:col>
      <xdr:colOff>205666</xdr:colOff>
      <xdr:row>19</xdr:row>
      <xdr:rowOff>90365</xdr:rowOff>
    </xdr:to>
    <xdr:sp macro="" textlink="">
      <xdr:nvSpPr>
        <xdr:cNvPr id="2" name="Rectangle: Rounded Corners 1">
          <a:extLst>
            <a:ext uri="{FF2B5EF4-FFF2-40B4-BE49-F238E27FC236}">
              <a16:creationId xmlns:a16="http://schemas.microsoft.com/office/drawing/2014/main" id="{FF0C70C8-3E2A-DF7E-6C85-94622C6B7DB2}"/>
            </a:ext>
          </a:extLst>
        </xdr:cNvPr>
        <xdr:cNvSpPr/>
      </xdr:nvSpPr>
      <xdr:spPr>
        <a:xfrm>
          <a:off x="2274964" y="1164711"/>
          <a:ext cx="4857975" cy="2627415"/>
        </a:xfrm>
        <a:prstGeom prst="roundRect">
          <a:avLst/>
        </a:prstGeom>
        <a:solidFill>
          <a:sysClr val="window" lastClr="FFFFF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358864</xdr:colOff>
      <xdr:row>5</xdr:row>
      <xdr:rowOff>158641</xdr:rowOff>
    </xdr:from>
    <xdr:to>
      <xdr:col>19</xdr:col>
      <xdr:colOff>384959</xdr:colOff>
      <xdr:row>19</xdr:row>
      <xdr:rowOff>95643</xdr:rowOff>
    </xdr:to>
    <xdr:sp macro="" textlink="">
      <xdr:nvSpPr>
        <xdr:cNvPr id="4" name="Rectangle: Rounded Corners 3">
          <a:extLst>
            <a:ext uri="{FF2B5EF4-FFF2-40B4-BE49-F238E27FC236}">
              <a16:creationId xmlns:a16="http://schemas.microsoft.com/office/drawing/2014/main" id="{BFAC9D9E-C90A-4664-BC39-FE47439B4A2E}"/>
            </a:ext>
          </a:extLst>
        </xdr:cNvPr>
        <xdr:cNvSpPr/>
      </xdr:nvSpPr>
      <xdr:spPr>
        <a:xfrm>
          <a:off x="7324020" y="1126024"/>
          <a:ext cx="4907658" cy="2645674"/>
        </a:xfrm>
        <a:prstGeom prst="roundRect">
          <a:avLst>
            <a:gd name="adj" fmla="val 12271"/>
          </a:avLst>
        </a:prstGeom>
        <a:solidFill>
          <a:sysClr val="window" lastClr="FFFFF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0</xdr:colOff>
      <xdr:row>0</xdr:row>
      <xdr:rowOff>41923</xdr:rowOff>
    </xdr:from>
    <xdr:to>
      <xdr:col>31</xdr:col>
      <xdr:colOff>150395</xdr:colOff>
      <xdr:row>5</xdr:row>
      <xdr:rowOff>86511</xdr:rowOff>
    </xdr:to>
    <xdr:sp macro="" textlink="">
      <xdr:nvSpPr>
        <xdr:cNvPr id="23" name="Rectangle: Rounded Corners 22">
          <a:extLst>
            <a:ext uri="{FF2B5EF4-FFF2-40B4-BE49-F238E27FC236}">
              <a16:creationId xmlns:a16="http://schemas.microsoft.com/office/drawing/2014/main" id="{7BBA783E-454B-475A-A6B1-8C5DF7069CD6}"/>
            </a:ext>
          </a:extLst>
        </xdr:cNvPr>
        <xdr:cNvSpPr/>
      </xdr:nvSpPr>
      <xdr:spPr>
        <a:xfrm>
          <a:off x="0" y="41923"/>
          <a:ext cx="19066711" cy="963667"/>
        </a:xfrm>
        <a:prstGeom prst="roundRect">
          <a:avLst/>
        </a:prstGeom>
        <a:solidFill>
          <a:schemeClr val="accent6">
            <a:lumMod val="75000"/>
          </a:schemeClr>
        </a:solidFill>
        <a:scene3d>
          <a:camera prst="orthographicFront"/>
          <a:lightRig rig="threePt" dir="t">
            <a:rot lat="0" lon="0" rev="1200000"/>
          </a:lightRig>
        </a:scene3d>
        <a:sp3d>
          <a:bevelT w="63500" h="254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192790</xdr:colOff>
      <xdr:row>20</xdr:row>
      <xdr:rowOff>51869</xdr:rowOff>
    </xdr:from>
    <xdr:to>
      <xdr:col>11</xdr:col>
      <xdr:colOff>233258</xdr:colOff>
      <xdr:row>33</xdr:row>
      <xdr:rowOff>182565</xdr:rowOff>
    </xdr:to>
    <xdr:sp macro="" textlink="">
      <xdr:nvSpPr>
        <xdr:cNvPr id="27" name="Rectangle: Rounded Corners 26">
          <a:extLst>
            <a:ext uri="{FF2B5EF4-FFF2-40B4-BE49-F238E27FC236}">
              <a16:creationId xmlns:a16="http://schemas.microsoft.com/office/drawing/2014/main" id="{1F4DE62F-AB14-4D87-8A8F-01F6CC6735B8}"/>
            </a:ext>
          </a:extLst>
        </xdr:cNvPr>
        <xdr:cNvSpPr/>
      </xdr:nvSpPr>
      <xdr:spPr>
        <a:xfrm>
          <a:off x="2270972" y="3948460"/>
          <a:ext cx="4889559" cy="2663480"/>
        </a:xfrm>
        <a:prstGeom prst="roundRect">
          <a:avLst/>
        </a:prstGeom>
        <a:solidFill>
          <a:sysClr val="window" lastClr="FFFFF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422952</xdr:colOff>
      <xdr:row>20</xdr:row>
      <xdr:rowOff>46617</xdr:rowOff>
    </xdr:from>
    <xdr:to>
      <xdr:col>19</xdr:col>
      <xdr:colOff>449047</xdr:colOff>
      <xdr:row>33</xdr:row>
      <xdr:rowOff>177313</xdr:rowOff>
    </xdr:to>
    <xdr:sp macro="" textlink="">
      <xdr:nvSpPr>
        <xdr:cNvPr id="28" name="Rectangle: Rounded Corners 27">
          <a:extLst>
            <a:ext uri="{FF2B5EF4-FFF2-40B4-BE49-F238E27FC236}">
              <a16:creationId xmlns:a16="http://schemas.microsoft.com/office/drawing/2014/main" id="{86BCAC84-E65C-45D6-97D9-3A8533FF7362}"/>
            </a:ext>
          </a:extLst>
        </xdr:cNvPr>
        <xdr:cNvSpPr/>
      </xdr:nvSpPr>
      <xdr:spPr>
        <a:xfrm>
          <a:off x="7388108" y="3916148"/>
          <a:ext cx="4907658" cy="2645892"/>
        </a:xfrm>
        <a:prstGeom prst="roundRect">
          <a:avLst/>
        </a:prstGeom>
        <a:solidFill>
          <a:sysClr val="window" lastClr="FFFFF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387109</xdr:colOff>
      <xdr:row>21</xdr:row>
      <xdr:rowOff>19288</xdr:rowOff>
    </xdr:from>
    <xdr:to>
      <xdr:col>11</xdr:col>
      <xdr:colOff>26148</xdr:colOff>
      <xdr:row>33</xdr:row>
      <xdr:rowOff>69023</xdr:rowOff>
    </xdr:to>
    <xdr:graphicFrame macro="">
      <xdr:nvGraphicFramePr>
        <xdr:cNvPr id="29" name="Chart 28">
          <a:extLst>
            <a:ext uri="{FF2B5EF4-FFF2-40B4-BE49-F238E27FC236}">
              <a16:creationId xmlns:a16="http://schemas.microsoft.com/office/drawing/2014/main" id="{B22D6D37-BD4A-45E2-AE86-64046D0D2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16755</xdr:colOff>
      <xdr:row>21</xdr:row>
      <xdr:rowOff>45383</xdr:rowOff>
    </xdr:from>
    <xdr:to>
      <xdr:col>19</xdr:col>
      <xdr:colOff>274655</xdr:colOff>
      <xdr:row>33</xdr:row>
      <xdr:rowOff>45384</xdr:rowOff>
    </xdr:to>
    <xdr:graphicFrame macro="">
      <xdr:nvGraphicFramePr>
        <xdr:cNvPr id="30" name="Chart 29">
          <a:extLst>
            <a:ext uri="{FF2B5EF4-FFF2-40B4-BE49-F238E27FC236}">
              <a16:creationId xmlns:a16="http://schemas.microsoft.com/office/drawing/2014/main" id="{07D06409-C14C-418E-B9C0-2E773C8D9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151848</xdr:colOff>
      <xdr:row>0</xdr:row>
      <xdr:rowOff>124239</xdr:rowOff>
    </xdr:from>
    <xdr:to>
      <xdr:col>30</xdr:col>
      <xdr:colOff>534737</xdr:colOff>
      <xdr:row>4</xdr:row>
      <xdr:rowOff>96631</xdr:rowOff>
    </xdr:to>
    <xdr:sp macro="" textlink="">
      <xdr:nvSpPr>
        <xdr:cNvPr id="31" name="TextBox 30">
          <a:extLst>
            <a:ext uri="{FF2B5EF4-FFF2-40B4-BE49-F238E27FC236}">
              <a16:creationId xmlns:a16="http://schemas.microsoft.com/office/drawing/2014/main" id="{CF3859ED-9512-28E3-EA6D-6A41605F4988}"/>
            </a:ext>
          </a:extLst>
        </xdr:cNvPr>
        <xdr:cNvSpPr txBox="1"/>
      </xdr:nvSpPr>
      <xdr:spPr>
        <a:xfrm>
          <a:off x="151848" y="124239"/>
          <a:ext cx="18697626" cy="707655"/>
        </a:xfrm>
        <a:prstGeom prst="rect">
          <a:avLst/>
        </a:prstGeom>
        <a:solidFill>
          <a:schemeClr val="bg1"/>
        </a:solidFill>
        <a:ln>
          <a:solidFill>
            <a:schemeClr val="accent2"/>
          </a:solidFill>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b"/>
        <a:lstStyle/>
        <a:p>
          <a:pPr marL="0" indent="0" algn="ctr"/>
          <a:r>
            <a:rPr lang="en-US" sz="2000" b="0" i="0" u="none" strike="noStrike" cap="none" spc="0">
              <a:ln w="10160">
                <a:noFill/>
                <a:prstDash val="solid"/>
              </a:ln>
              <a:solidFill>
                <a:schemeClr val="accent6">
                  <a:lumMod val="75000"/>
                </a:schemeClr>
              </a:solidFill>
              <a:effectLst>
                <a:outerShdw blurRad="38100" dist="22860" dir="5400000" algn="tl" rotWithShape="0">
                  <a:srgbClr val="000000">
                    <a:alpha val="30000"/>
                  </a:srgbClr>
                </a:outerShdw>
              </a:effectLst>
              <a:latin typeface="Blackoak Std" panose="04050907060602020202" pitchFamily="82" charset="0"/>
              <a:ea typeface="+mn-ea"/>
              <a:cs typeface="Calibri"/>
            </a:rPr>
            <a:t>2023 &amp; 2024  PERFORMANCE COMPARISON DASHBOARD </a:t>
          </a:r>
        </a:p>
        <a:p>
          <a:pPr marL="0" indent="0" algn="ctr"/>
          <a:endParaRPr lang="en-US" sz="1100" b="0" i="0" u="none" strike="noStrike" cap="none" spc="0">
            <a:ln w="10160">
              <a:solidFill>
                <a:schemeClr val="accent5"/>
              </a:solidFill>
              <a:prstDash val="solid"/>
            </a:ln>
            <a:solidFill>
              <a:srgbClr val="000000"/>
            </a:solidFill>
            <a:effectLst>
              <a:outerShdw blurRad="38100" dist="22860" dir="5400000" algn="tl" rotWithShape="0">
                <a:srgbClr val="000000">
                  <a:alpha val="30000"/>
                </a:srgbClr>
              </a:outerShdw>
            </a:effectLst>
            <a:latin typeface="Calibri"/>
            <a:ea typeface="+mn-ea"/>
            <a:cs typeface="Calibri"/>
          </a:endParaRPr>
        </a:p>
      </xdr:txBody>
    </xdr:sp>
    <xdr:clientData/>
  </xdr:twoCellAnchor>
  <xdr:twoCellAnchor>
    <xdr:from>
      <xdr:col>19</xdr:col>
      <xdr:colOff>480133</xdr:colOff>
      <xdr:row>5</xdr:row>
      <xdr:rowOff>145595</xdr:rowOff>
    </xdr:from>
    <xdr:to>
      <xdr:col>27</xdr:col>
      <xdr:colOff>518090</xdr:colOff>
      <xdr:row>19</xdr:row>
      <xdr:rowOff>82598</xdr:rowOff>
    </xdr:to>
    <xdr:sp macro="" textlink="">
      <xdr:nvSpPr>
        <xdr:cNvPr id="24" name="Rectangle: Rounded Corners 23">
          <a:extLst>
            <a:ext uri="{FF2B5EF4-FFF2-40B4-BE49-F238E27FC236}">
              <a16:creationId xmlns:a16="http://schemas.microsoft.com/office/drawing/2014/main" id="{E4AC52EC-3B87-40B9-B779-C3580447ABBB}"/>
            </a:ext>
          </a:extLst>
        </xdr:cNvPr>
        <xdr:cNvSpPr/>
      </xdr:nvSpPr>
      <xdr:spPr>
        <a:xfrm>
          <a:off x="12326852" y="1112978"/>
          <a:ext cx="4919519" cy="2645675"/>
        </a:xfrm>
        <a:prstGeom prst="roundRect">
          <a:avLst/>
        </a:prstGeom>
        <a:solidFill>
          <a:sysClr val="window" lastClr="FFFFF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89654</xdr:colOff>
      <xdr:row>6</xdr:row>
      <xdr:rowOff>86755</xdr:rowOff>
    </xdr:from>
    <xdr:to>
      <xdr:col>27</xdr:col>
      <xdr:colOff>262837</xdr:colOff>
      <xdr:row>18</xdr:row>
      <xdr:rowOff>111709</xdr:rowOff>
    </xdr:to>
    <xdr:graphicFrame macro="">
      <xdr:nvGraphicFramePr>
        <xdr:cNvPr id="25" name="Chart 24">
          <a:extLst>
            <a:ext uri="{FF2B5EF4-FFF2-40B4-BE49-F238E27FC236}">
              <a16:creationId xmlns:a16="http://schemas.microsoft.com/office/drawing/2014/main" id="{C60899B0-DA63-4332-B97F-24FB1F3A0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24834</xdr:colOff>
      <xdr:row>20</xdr:row>
      <xdr:rowOff>4821</xdr:rowOff>
    </xdr:from>
    <xdr:to>
      <xdr:col>27</xdr:col>
      <xdr:colOff>584868</xdr:colOff>
      <xdr:row>33</xdr:row>
      <xdr:rowOff>135516</xdr:rowOff>
    </xdr:to>
    <xdr:sp macro="" textlink="">
      <xdr:nvSpPr>
        <xdr:cNvPr id="32" name="Rectangle: Rounded Corners 31">
          <a:extLst>
            <a:ext uri="{FF2B5EF4-FFF2-40B4-BE49-F238E27FC236}">
              <a16:creationId xmlns:a16="http://schemas.microsoft.com/office/drawing/2014/main" id="{1B085FCE-DF81-4C87-843B-95A313CB8A49}"/>
            </a:ext>
          </a:extLst>
        </xdr:cNvPr>
        <xdr:cNvSpPr/>
      </xdr:nvSpPr>
      <xdr:spPr>
        <a:xfrm>
          <a:off x="12323781" y="3681137"/>
          <a:ext cx="4771087" cy="2520300"/>
        </a:xfrm>
        <a:prstGeom prst="roundRect">
          <a:avLst/>
        </a:prstGeom>
        <a:solidFill>
          <a:sysClr val="window" lastClr="FFFFF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474208</xdr:colOff>
      <xdr:row>6</xdr:row>
      <xdr:rowOff>133916</xdr:rowOff>
    </xdr:from>
    <xdr:to>
      <xdr:col>10</xdr:col>
      <xdr:colOff>484140</xdr:colOff>
      <xdr:row>18</xdr:row>
      <xdr:rowOff>158655</xdr:rowOff>
    </xdr:to>
    <xdr:graphicFrame macro="">
      <xdr:nvGraphicFramePr>
        <xdr:cNvPr id="34" name="Chart 33">
          <a:extLst>
            <a:ext uri="{FF2B5EF4-FFF2-40B4-BE49-F238E27FC236}">
              <a16:creationId xmlns:a16="http://schemas.microsoft.com/office/drawing/2014/main" id="{AA9135AD-3228-4520-A455-51DF20B8D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13803</xdr:colOff>
      <xdr:row>6</xdr:row>
      <xdr:rowOff>59532</xdr:rowOff>
    </xdr:from>
    <xdr:to>
      <xdr:col>2</xdr:col>
      <xdr:colOff>868946</xdr:colOff>
      <xdr:row>35</xdr:row>
      <xdr:rowOff>33421</xdr:rowOff>
    </xdr:to>
    <xdr:sp macro="" textlink="">
      <xdr:nvSpPr>
        <xdr:cNvPr id="41" name="Flowchart: Alternate Process 40">
          <a:extLst>
            <a:ext uri="{FF2B5EF4-FFF2-40B4-BE49-F238E27FC236}">
              <a16:creationId xmlns:a16="http://schemas.microsoft.com/office/drawing/2014/main" id="{0DD6D722-BCEF-591B-865F-D3C715615667}"/>
            </a:ext>
          </a:extLst>
        </xdr:cNvPr>
        <xdr:cNvSpPr/>
      </xdr:nvSpPr>
      <xdr:spPr>
        <a:xfrm>
          <a:off x="13803" y="1162427"/>
          <a:ext cx="2058301" cy="5304547"/>
        </a:xfrm>
        <a:prstGeom prst="flowChartAlternateProcess">
          <a:avLst/>
        </a:prstGeom>
        <a:solidFill>
          <a:schemeClr val="accent6">
            <a:lumMod val="75000"/>
          </a:schemeClr>
        </a:solidFill>
        <a:ln>
          <a:noFill/>
        </a:ln>
        <a:effectLst>
          <a:glow rad="228600">
            <a:schemeClr val="accent6">
              <a:satMod val="175000"/>
              <a:alpha val="40000"/>
            </a:schemeClr>
          </a:glow>
          <a:outerShdw blurRad="63500" sx="102000" sy="102000" algn="ctr" rotWithShape="0">
            <a:prstClr val="black">
              <a:alpha val="40000"/>
            </a:prstClr>
          </a:outerShdw>
          <a:reflection blurRad="6350" stA="50000" endA="295" endPos="92000" dist="101600" dir="5400000" sy="-100000" algn="bl" rotWithShape="0"/>
          <a:softEdge rad="31750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138043</xdr:colOff>
      <xdr:row>7</xdr:row>
      <xdr:rowOff>38180</xdr:rowOff>
    </xdr:from>
    <xdr:to>
      <xdr:col>2</xdr:col>
      <xdr:colOff>734474</xdr:colOff>
      <xdr:row>19</xdr:row>
      <xdr:rowOff>16711</xdr:rowOff>
    </xdr:to>
    <mc:AlternateContent xmlns:mc="http://schemas.openxmlformats.org/markup-compatibility/2006" xmlns:a14="http://schemas.microsoft.com/office/drawing/2010/main">
      <mc:Choice Requires="a14">
        <xdr:graphicFrame macro="">
          <xdr:nvGraphicFramePr>
            <xdr:cNvPr id="42" name="Months (Order_Date)">
              <a:extLst>
                <a:ext uri="{FF2B5EF4-FFF2-40B4-BE49-F238E27FC236}">
                  <a16:creationId xmlns:a16="http://schemas.microsoft.com/office/drawing/2014/main" id="{AF1B18EF-F33C-4053-B4F5-2FA9EE8786F9}"/>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138043" y="1324891"/>
              <a:ext cx="1799589" cy="3317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139121</xdr:colOff>
      <xdr:row>19</xdr:row>
      <xdr:rowOff>79263</xdr:rowOff>
    </xdr:from>
    <xdr:to>
      <xdr:col>2</xdr:col>
      <xdr:colOff>731859</xdr:colOff>
      <xdr:row>28</xdr:row>
      <xdr:rowOff>79916</xdr:rowOff>
    </xdr:to>
    <mc:AlternateContent xmlns:mc="http://schemas.openxmlformats.org/markup-compatibility/2006" xmlns:a14="http://schemas.microsoft.com/office/drawing/2010/main">
      <mc:Choice Requires="a14">
        <xdr:graphicFrame macro="">
          <xdr:nvGraphicFramePr>
            <xdr:cNvPr id="43" name="Region">
              <a:extLst>
                <a:ext uri="{FF2B5EF4-FFF2-40B4-BE49-F238E27FC236}">
                  <a16:creationId xmlns:a16="http://schemas.microsoft.com/office/drawing/2014/main" id="{07DB6592-CD26-42A6-B771-47271F909F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121" y="3571763"/>
              <a:ext cx="1795896" cy="16549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125343</xdr:colOff>
      <xdr:row>9</xdr:row>
      <xdr:rowOff>125344</xdr:rowOff>
    </xdr:from>
    <xdr:to>
      <xdr:col>5</xdr:col>
      <xdr:colOff>42517</xdr:colOff>
      <xdr:row>10</xdr:row>
      <xdr:rowOff>97735</xdr:rowOff>
    </xdr:to>
    <xdr:cxnSp macro="">
      <xdr:nvCxnSpPr>
        <xdr:cNvPr id="47" name="Connector: Curved 46">
          <a:extLst>
            <a:ext uri="{FF2B5EF4-FFF2-40B4-BE49-F238E27FC236}">
              <a16:creationId xmlns:a16="http://schemas.microsoft.com/office/drawing/2014/main" id="{D715B0F3-3911-4C29-8367-D3DC89E9A91E}"/>
            </a:ext>
          </a:extLst>
        </xdr:cNvPr>
        <xdr:cNvCxnSpPr/>
      </xdr:nvCxnSpPr>
      <xdr:spPr>
        <a:xfrm>
          <a:off x="2209800" y="1864692"/>
          <a:ext cx="1131956" cy="165652"/>
        </a:xfrm>
        <a:prstGeom prst="curvedConnector3">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575418</xdr:colOff>
      <xdr:row>6</xdr:row>
      <xdr:rowOff>104180</xdr:rowOff>
    </xdr:from>
    <xdr:to>
      <xdr:col>19</xdr:col>
      <xdr:colOff>265855</xdr:colOff>
      <xdr:row>19</xdr:row>
      <xdr:rowOff>29766</xdr:rowOff>
    </xdr:to>
    <xdr:graphicFrame macro="">
      <xdr:nvGraphicFramePr>
        <xdr:cNvPr id="50" name="Chart 49">
          <a:extLst>
            <a:ext uri="{FF2B5EF4-FFF2-40B4-BE49-F238E27FC236}">
              <a16:creationId xmlns:a16="http://schemas.microsoft.com/office/drawing/2014/main" id="{124DEB21-FA27-438D-B17D-79445D75B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144542</xdr:colOff>
      <xdr:row>21</xdr:row>
      <xdr:rowOff>0</xdr:rowOff>
    </xdr:from>
    <xdr:to>
      <xdr:col>27</xdr:col>
      <xdr:colOff>445175</xdr:colOff>
      <xdr:row>33</xdr:row>
      <xdr:rowOff>29764</xdr:rowOff>
    </xdr:to>
    <xdr:graphicFrame macro="">
      <xdr:nvGraphicFramePr>
        <xdr:cNvPr id="51" name="Chart 50">
          <a:extLst>
            <a:ext uri="{FF2B5EF4-FFF2-40B4-BE49-F238E27FC236}">
              <a16:creationId xmlns:a16="http://schemas.microsoft.com/office/drawing/2014/main" id="{0172A53D-A2E7-41E1-A375-86A7A13EA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132867</xdr:colOff>
      <xdr:row>28</xdr:row>
      <xdr:rowOff>124548</xdr:rowOff>
    </xdr:from>
    <xdr:to>
      <xdr:col>2</xdr:col>
      <xdr:colOff>732101</xdr:colOff>
      <xdr:row>33</xdr:row>
      <xdr:rowOff>139429</xdr:rowOff>
    </xdr:to>
    <mc:AlternateContent xmlns:mc="http://schemas.openxmlformats.org/markup-compatibility/2006" xmlns:a14="http://schemas.microsoft.com/office/drawing/2010/main">
      <mc:Choice Requires="a14">
        <xdr:graphicFrame macro="">
          <xdr:nvGraphicFramePr>
            <xdr:cNvPr id="54" name="Sales_Channel">
              <a:extLst>
                <a:ext uri="{FF2B5EF4-FFF2-40B4-BE49-F238E27FC236}">
                  <a16:creationId xmlns:a16="http://schemas.microsoft.com/office/drawing/2014/main" id="{45BE9A92-7918-40C3-8785-D33AC28754F1}"/>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32867" y="5271390"/>
              <a:ext cx="1802392" cy="933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117982</xdr:colOff>
      <xdr:row>6</xdr:row>
      <xdr:rowOff>14886</xdr:rowOff>
    </xdr:from>
    <xdr:to>
      <xdr:col>31</xdr:col>
      <xdr:colOff>193476</xdr:colOff>
      <xdr:row>35</xdr:row>
      <xdr:rowOff>0</xdr:rowOff>
    </xdr:to>
    <xdr:sp macro="" textlink="">
      <xdr:nvSpPr>
        <xdr:cNvPr id="61" name="Flowchart: Alternate Process 60">
          <a:extLst>
            <a:ext uri="{FF2B5EF4-FFF2-40B4-BE49-F238E27FC236}">
              <a16:creationId xmlns:a16="http://schemas.microsoft.com/office/drawing/2014/main" id="{FCC2A344-1AD7-486A-8569-A77DD17DCBF6}"/>
            </a:ext>
          </a:extLst>
        </xdr:cNvPr>
        <xdr:cNvSpPr/>
      </xdr:nvSpPr>
      <xdr:spPr>
        <a:xfrm>
          <a:off x="17229561" y="1117781"/>
          <a:ext cx="1880231" cy="5315772"/>
        </a:xfrm>
        <a:prstGeom prst="flowChartAlternateProcess">
          <a:avLst/>
        </a:prstGeom>
        <a:solidFill>
          <a:schemeClr val="accent6">
            <a:lumMod val="75000"/>
          </a:schemeClr>
        </a:solidFill>
        <a:ln>
          <a:noFill/>
        </a:ln>
        <a:effectLst>
          <a:glow rad="228600">
            <a:schemeClr val="accent6">
              <a:satMod val="175000"/>
              <a:alpha val="40000"/>
            </a:schemeClr>
          </a:glow>
          <a:outerShdw blurRad="63500" sx="102000" sy="102000" algn="ctr" rotWithShape="0">
            <a:prstClr val="black">
              <a:alpha val="40000"/>
            </a:prstClr>
          </a:outerShdw>
          <a:reflection blurRad="6350" stA="50000" endA="295" endPos="92000" dist="101600" dir="5400000" sy="-100000" algn="bl" rotWithShape="0"/>
          <a:softEdge rad="31750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206934</xdr:colOff>
      <xdr:row>7</xdr:row>
      <xdr:rowOff>55877</xdr:rowOff>
    </xdr:from>
    <xdr:to>
      <xdr:col>31</xdr:col>
      <xdr:colOff>122717</xdr:colOff>
      <xdr:row>12</xdr:row>
      <xdr:rowOff>84853</xdr:rowOff>
    </xdr:to>
    <xdr:sp macro="" textlink="">
      <xdr:nvSpPr>
        <xdr:cNvPr id="63" name="Rectangle: Rounded Corners 62">
          <a:extLst>
            <a:ext uri="{FF2B5EF4-FFF2-40B4-BE49-F238E27FC236}">
              <a16:creationId xmlns:a16="http://schemas.microsoft.com/office/drawing/2014/main" id="{874AD786-7E2E-498C-BDAC-6B44CB5D5D6E}"/>
            </a:ext>
          </a:extLst>
        </xdr:cNvPr>
        <xdr:cNvSpPr/>
      </xdr:nvSpPr>
      <xdr:spPr>
        <a:xfrm>
          <a:off x="17318513" y="1342588"/>
          <a:ext cx="1720520" cy="948054"/>
        </a:xfrm>
        <a:prstGeom prst="roundRect">
          <a:avLst/>
        </a:prstGeom>
        <a:solidFill>
          <a:sysClr val="window" lastClr="FFFFF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ctr"/>
          <a:r>
            <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rPr>
            <a:t>PROFIT % </a:t>
          </a:r>
        </a:p>
        <a:p>
          <a:pPr marL="0" indent="0" algn="ctr"/>
          <a:r>
            <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rPr>
            <a:t>CHANGE</a:t>
          </a:r>
        </a:p>
      </xdr:txBody>
    </xdr:sp>
    <xdr:clientData/>
  </xdr:twoCellAnchor>
  <xdr:twoCellAnchor>
    <xdr:from>
      <xdr:col>28</xdr:col>
      <xdr:colOff>460204</xdr:colOff>
      <xdr:row>10</xdr:row>
      <xdr:rowOff>113580</xdr:rowOff>
    </xdr:from>
    <xdr:to>
      <xdr:col>30</xdr:col>
      <xdr:colOff>457157</xdr:colOff>
      <xdr:row>12</xdr:row>
      <xdr:rowOff>3100</xdr:rowOff>
    </xdr:to>
    <xdr:sp macro="" textlink="'2023 VS 2024 PERFORMANCE'!D20">
      <xdr:nvSpPr>
        <xdr:cNvPr id="64" name="TextBox 63">
          <a:extLst>
            <a:ext uri="{FF2B5EF4-FFF2-40B4-BE49-F238E27FC236}">
              <a16:creationId xmlns:a16="http://schemas.microsoft.com/office/drawing/2014/main" id="{7D87E91B-C722-43F2-8A6D-5EC8A7C0CC5C}"/>
            </a:ext>
          </a:extLst>
        </xdr:cNvPr>
        <xdr:cNvSpPr txBox="1"/>
      </xdr:nvSpPr>
      <xdr:spPr>
        <a:xfrm>
          <a:off x="17571783" y="1951738"/>
          <a:ext cx="1200111" cy="257151"/>
        </a:xfrm>
        <a:prstGeom prst="rect">
          <a:avLst/>
        </a:prstGeom>
        <a:solidFill>
          <a:schemeClr val="accent6">
            <a:lumMod val="75000"/>
          </a:schemeClr>
        </a:solidFill>
        <a:ln>
          <a:solidFill>
            <a:schemeClr val="accent2"/>
          </a:solidFill>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pPr marL="0" indent="0" algn="ctr"/>
          <a:fld id="{BE77B40B-BE18-43CC-9D3E-C9FD804CFF3E}" type="TxLink">
            <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rPr>
            <a:pPr marL="0" indent="0" algn="ctr"/>
            <a:t>14.62%</a:t>
          </a:fld>
          <a:endPar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endParaRPr>
        </a:p>
      </xdr:txBody>
    </xdr:sp>
    <xdr:clientData/>
  </xdr:twoCellAnchor>
  <xdr:twoCellAnchor>
    <xdr:from>
      <xdr:col>28</xdr:col>
      <xdr:colOff>188398</xdr:colOff>
      <xdr:row>17</xdr:row>
      <xdr:rowOff>115149</xdr:rowOff>
    </xdr:from>
    <xdr:to>
      <xdr:col>31</xdr:col>
      <xdr:colOff>104181</xdr:colOff>
      <xdr:row>22</xdr:row>
      <xdr:rowOff>144124</xdr:rowOff>
    </xdr:to>
    <xdr:sp macro="" textlink="">
      <xdr:nvSpPr>
        <xdr:cNvPr id="65" name="Rectangle: Rounded Corners 64">
          <a:extLst>
            <a:ext uri="{FF2B5EF4-FFF2-40B4-BE49-F238E27FC236}">
              <a16:creationId xmlns:a16="http://schemas.microsoft.com/office/drawing/2014/main" id="{86E046C3-12CA-4DC4-8663-51542E56C880}"/>
            </a:ext>
          </a:extLst>
        </xdr:cNvPr>
        <xdr:cNvSpPr/>
      </xdr:nvSpPr>
      <xdr:spPr>
        <a:xfrm>
          <a:off x="17299977" y="3240017"/>
          <a:ext cx="1720520" cy="948054"/>
        </a:xfrm>
        <a:prstGeom prst="roundRect">
          <a:avLst/>
        </a:prstGeom>
        <a:solidFill>
          <a:sysClr val="window" lastClr="FFFFF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ctr"/>
          <a:r>
            <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rPr>
            <a:t>COST % </a:t>
          </a:r>
        </a:p>
        <a:p>
          <a:pPr marL="0" indent="0" algn="ctr"/>
          <a:r>
            <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rPr>
            <a:t>CHANGE</a:t>
          </a:r>
        </a:p>
      </xdr:txBody>
    </xdr:sp>
    <xdr:clientData/>
  </xdr:twoCellAnchor>
  <xdr:twoCellAnchor>
    <xdr:from>
      <xdr:col>28</xdr:col>
      <xdr:colOff>448975</xdr:colOff>
      <xdr:row>20</xdr:row>
      <xdr:rowOff>159796</xdr:rowOff>
    </xdr:from>
    <xdr:to>
      <xdr:col>30</xdr:col>
      <xdr:colOff>445928</xdr:colOff>
      <xdr:row>22</xdr:row>
      <xdr:rowOff>58976</xdr:rowOff>
    </xdr:to>
    <xdr:sp macro="" textlink="'2023 VS 2024 PERFORMANCE'!D8">
      <xdr:nvSpPr>
        <xdr:cNvPr id="66" name="TextBox 65">
          <a:extLst>
            <a:ext uri="{FF2B5EF4-FFF2-40B4-BE49-F238E27FC236}">
              <a16:creationId xmlns:a16="http://schemas.microsoft.com/office/drawing/2014/main" id="{A59B0AB4-3383-4CF8-AAC3-1165ADDABCAD}"/>
            </a:ext>
          </a:extLst>
        </xdr:cNvPr>
        <xdr:cNvSpPr txBox="1"/>
      </xdr:nvSpPr>
      <xdr:spPr>
        <a:xfrm>
          <a:off x="17560554" y="3836112"/>
          <a:ext cx="1200111" cy="266811"/>
        </a:xfrm>
        <a:prstGeom prst="rect">
          <a:avLst/>
        </a:prstGeom>
        <a:solidFill>
          <a:schemeClr val="accent6">
            <a:lumMod val="75000"/>
          </a:schemeClr>
        </a:solidFill>
        <a:ln>
          <a:solidFill>
            <a:schemeClr val="accent2"/>
          </a:solidFill>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pPr marL="0" indent="0" algn="ctr"/>
          <a:fld id="{AD1AE182-7EB0-420F-9CD3-37BF578E8E13}" type="TxLink">
            <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rPr>
            <a:pPr marL="0" indent="0" algn="ctr"/>
            <a:t>13.69%</a:t>
          </a:fld>
          <a:endPar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endParaRPr>
        </a:p>
      </xdr:txBody>
    </xdr:sp>
    <xdr:clientData/>
  </xdr:twoCellAnchor>
  <xdr:twoCellAnchor>
    <xdr:from>
      <xdr:col>28</xdr:col>
      <xdr:colOff>214508</xdr:colOff>
      <xdr:row>28</xdr:row>
      <xdr:rowOff>89297</xdr:rowOff>
    </xdr:from>
    <xdr:to>
      <xdr:col>31</xdr:col>
      <xdr:colOff>130290</xdr:colOff>
      <xdr:row>33</xdr:row>
      <xdr:rowOff>118273</xdr:rowOff>
    </xdr:to>
    <xdr:sp macro="" textlink="">
      <xdr:nvSpPr>
        <xdr:cNvPr id="67" name="Rectangle: Rounded Corners 66">
          <a:extLst>
            <a:ext uri="{FF2B5EF4-FFF2-40B4-BE49-F238E27FC236}">
              <a16:creationId xmlns:a16="http://schemas.microsoft.com/office/drawing/2014/main" id="{752E6962-ED71-4B48-92B4-163ABD051863}"/>
            </a:ext>
          </a:extLst>
        </xdr:cNvPr>
        <xdr:cNvSpPr/>
      </xdr:nvSpPr>
      <xdr:spPr>
        <a:xfrm>
          <a:off x="17326087" y="5236139"/>
          <a:ext cx="1720519" cy="948055"/>
        </a:xfrm>
        <a:prstGeom prst="roundRect">
          <a:avLst/>
        </a:prstGeom>
        <a:solidFill>
          <a:sysClr val="window" lastClr="FFFFF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rPr>
            <a:t>SALES % </a:t>
          </a:r>
        </a:p>
        <a:p>
          <a:pPr algn="ctr"/>
          <a:r>
            <a:rPr lang="en-US" sz="1200">
              <a:ln>
                <a:solidFill>
                  <a:schemeClr val="accent6">
                    <a:lumMod val="75000"/>
                  </a:schemeClr>
                </a:solidFill>
              </a:ln>
              <a:solidFill>
                <a:schemeClr val="tx1"/>
              </a:solidFill>
              <a:latin typeface="Adobe Fan Heiti Std B" panose="020B0700000000000000" pitchFamily="34" charset="-128"/>
              <a:ea typeface="Adobe Fan Heiti Std B" panose="020B0700000000000000" pitchFamily="34" charset="-128"/>
              <a:cs typeface="+mn-cs"/>
            </a:rPr>
            <a:t>CHANGE</a:t>
          </a:r>
        </a:p>
      </xdr:txBody>
    </xdr:sp>
    <xdr:clientData/>
  </xdr:twoCellAnchor>
  <xdr:twoCellAnchor>
    <xdr:from>
      <xdr:col>28</xdr:col>
      <xdr:colOff>481877</xdr:colOff>
      <xdr:row>31</xdr:row>
      <xdr:rowOff>139429</xdr:rowOff>
    </xdr:from>
    <xdr:to>
      <xdr:col>30</xdr:col>
      <xdr:colOff>478827</xdr:colOff>
      <xdr:row>33</xdr:row>
      <xdr:rowOff>28948</xdr:rowOff>
    </xdr:to>
    <xdr:sp macro="" textlink="'2023 VS 2024 PERFORMANCE'!D14">
      <xdr:nvSpPr>
        <xdr:cNvPr id="3" name="TextBox 2">
          <a:extLst>
            <a:ext uri="{FF2B5EF4-FFF2-40B4-BE49-F238E27FC236}">
              <a16:creationId xmlns:a16="http://schemas.microsoft.com/office/drawing/2014/main" id="{D9D992BD-479F-4084-887B-DF5BE2C4D947}"/>
            </a:ext>
          </a:extLst>
        </xdr:cNvPr>
        <xdr:cNvSpPr txBox="1"/>
      </xdr:nvSpPr>
      <xdr:spPr>
        <a:xfrm>
          <a:off x="17593456" y="5837718"/>
          <a:ext cx="1200108" cy="257151"/>
        </a:xfrm>
        <a:prstGeom prst="rect">
          <a:avLst/>
        </a:prstGeom>
        <a:solidFill>
          <a:schemeClr val="accent6">
            <a:lumMod val="75000"/>
          </a:schemeClr>
        </a:solidFill>
        <a:ln>
          <a:solidFill>
            <a:schemeClr val="accent2"/>
          </a:solidFill>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pPr marL="0" indent="0" algn="ctr"/>
          <a:fld id="{DC5027DF-BE7C-4041-9742-ECC56488DF49}" type="TxLink">
            <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rPr>
            <a:pPr marL="0" indent="0" algn="ctr"/>
            <a:t>13.96%</a:t>
          </a:fld>
          <a:endParaRPr lang="en-US" sz="1100" b="1" i="0" u="none" strike="noStrike"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Calibri"/>
            <a:ea typeface="+mn-ea"/>
            <a:cs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174237</xdr:rowOff>
    </xdr:from>
    <xdr:to>
      <xdr:col>5</xdr:col>
      <xdr:colOff>342900</xdr:colOff>
      <xdr:row>11</xdr:row>
      <xdr:rowOff>95250</xdr:rowOff>
    </xdr:to>
    <xdr:sp macro="" textlink="">
      <xdr:nvSpPr>
        <xdr:cNvPr id="2" name="Flowchart: Terminator 1">
          <a:extLst>
            <a:ext uri="{FF2B5EF4-FFF2-40B4-BE49-F238E27FC236}">
              <a16:creationId xmlns:a16="http://schemas.microsoft.com/office/drawing/2014/main" id="{3867504B-C701-4EE9-AE4F-907E9913CC36}"/>
            </a:ext>
          </a:extLst>
        </xdr:cNvPr>
        <xdr:cNvSpPr/>
      </xdr:nvSpPr>
      <xdr:spPr>
        <a:xfrm>
          <a:off x="0" y="174237"/>
          <a:ext cx="12430125" cy="2016513"/>
        </a:xfrm>
        <a:prstGeom prst="flowChartTerminator">
          <a:avLst/>
        </a:prstGeom>
        <a:solidFill>
          <a:schemeClr val="tx2">
            <a:lumMod val="60000"/>
            <a:lumOff val="40000"/>
          </a:schemeClr>
        </a:solidFill>
        <a:ln>
          <a:noFill/>
        </a:ln>
        <a:effectLst>
          <a:glow rad="228600">
            <a:schemeClr val="accent1">
              <a:satMod val="175000"/>
              <a:alpha val="40000"/>
            </a:schemeClr>
          </a:glow>
          <a:outerShdw blurRad="44450" dist="27940" dir="5400000" algn="ctr">
            <a:srgbClr val="000000">
              <a:alpha val="32000"/>
            </a:srgbClr>
          </a:outerShdw>
          <a:reflection blurRad="6350" stA="50000" endA="300" endPos="55500" dist="101600" dir="5400000" sy="-100000" algn="bl" rotWithShape="0"/>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prstTxWarp prst="textStop">
            <a:avLst/>
          </a:prstTxWarp>
        </a:bodyPr>
        <a:lstStyle/>
        <a:p>
          <a:pPr algn="ctr"/>
          <a:endParaRPr lang="en-US" sz="2400" b="1">
            <a:ln>
              <a:solidFill>
                <a:schemeClr val="tx2">
                  <a:lumMod val="60000"/>
                  <a:lumOff val="40000"/>
                </a:schemeClr>
              </a:solidFill>
            </a:ln>
            <a:solidFill>
              <a:schemeClr val="bg1"/>
            </a:solidFill>
            <a:effectLst>
              <a:outerShdw blurRad="50800" dist="38100" dir="5400000" algn="t" rotWithShape="0">
                <a:prstClr val="black">
                  <a:alpha val="40000"/>
                </a:prstClr>
              </a:outerShdw>
            </a:effectLst>
            <a:latin typeface="Blackoak Std" panose="04050907060602020202" pitchFamily="82" charset="0"/>
          </a:endParaRPr>
        </a:p>
      </xdr:txBody>
    </xdr:sp>
    <xdr:clientData/>
  </xdr:twoCellAnchor>
  <xdr:twoCellAnchor>
    <xdr:from>
      <xdr:col>1</xdr:col>
      <xdr:colOff>619126</xdr:colOff>
      <xdr:row>2</xdr:row>
      <xdr:rowOff>1</xdr:rowOff>
    </xdr:from>
    <xdr:to>
      <xdr:col>4</xdr:col>
      <xdr:colOff>371475</xdr:colOff>
      <xdr:row>9</xdr:row>
      <xdr:rowOff>47625</xdr:rowOff>
    </xdr:to>
    <xdr:sp macro="" textlink="">
      <xdr:nvSpPr>
        <xdr:cNvPr id="6" name="TextBox 5">
          <a:extLst>
            <a:ext uri="{FF2B5EF4-FFF2-40B4-BE49-F238E27FC236}">
              <a16:creationId xmlns:a16="http://schemas.microsoft.com/office/drawing/2014/main" id="{9E5ABA6E-C397-DE36-9434-78E40BDDACEE}"/>
            </a:ext>
          </a:extLst>
        </xdr:cNvPr>
        <xdr:cNvSpPr txBox="1"/>
      </xdr:nvSpPr>
      <xdr:spPr>
        <a:xfrm>
          <a:off x="1047751" y="381001"/>
          <a:ext cx="10563224" cy="1381124"/>
        </a:xfrm>
        <a:prstGeom prst="rect">
          <a:avLst/>
        </a:prstGeom>
        <a:solidFill>
          <a:schemeClr val="tx2">
            <a:lumMod val="20000"/>
            <a:lumOff val="80000"/>
          </a:schemeClr>
        </a:solidFill>
        <a:ln w="9525" cmpd="sng">
          <a:noFill/>
        </a:ln>
        <a:effectLst>
          <a:glow rad="228600">
            <a:schemeClr val="accent5">
              <a:satMod val="175000"/>
              <a:alpha val="40000"/>
            </a:schemeClr>
          </a:glow>
          <a:outerShdw blurRad="50800" dist="38100" dir="18900000" algn="bl" rotWithShape="0">
            <a:prstClr val="black">
              <a:alpha val="40000"/>
            </a:prstClr>
          </a:outerShdw>
          <a:reflection blurRad="6350" stA="50000" endA="300" endPos="38500" dist="50800" dir="5400000" sy="-100000" algn="bl" rotWithShape="0"/>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latin typeface="Blackoak Std" panose="04050907060602020202" pitchFamily="82" charset="0"/>
            </a:rPr>
            <a:t>INSIGHTS &amp; RECOMMEDATIONS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95796</xdr:colOff>
      <xdr:row>16</xdr:row>
      <xdr:rowOff>97989</xdr:rowOff>
    </xdr:from>
    <xdr:to>
      <xdr:col>22</xdr:col>
      <xdr:colOff>391837</xdr:colOff>
      <xdr:row>21</xdr:row>
      <xdr:rowOff>109484</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EBC1C16F-C28D-76B4-4F24-102BBBEDCC1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025537" y="3075920"/>
              <a:ext cx="1828800" cy="942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101272</xdr:colOff>
      <xdr:row>0</xdr:row>
      <xdr:rowOff>0</xdr:rowOff>
    </xdr:from>
    <xdr:to>
      <xdr:col>22</xdr:col>
      <xdr:colOff>397313</xdr:colOff>
      <xdr:row>9</xdr:row>
      <xdr:rowOff>115504</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24E81F14-8386-397A-1072-9BB8A675E48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031013" y="0"/>
              <a:ext cx="1828800" cy="1790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95800</xdr:colOff>
      <xdr:row>9</xdr:row>
      <xdr:rowOff>163678</xdr:rowOff>
    </xdr:from>
    <xdr:to>
      <xdr:col>22</xdr:col>
      <xdr:colOff>391841</xdr:colOff>
      <xdr:row>16</xdr:row>
      <xdr:rowOff>43794</xdr:rowOff>
    </xdr:to>
    <mc:AlternateContent xmlns:mc="http://schemas.openxmlformats.org/markup-compatibility/2006" xmlns:a14="http://schemas.microsoft.com/office/drawing/2010/main">
      <mc:Choice Requires="a14">
        <xdr:graphicFrame macro="">
          <xdr:nvGraphicFramePr>
            <xdr:cNvPr id="4" name="Sales_Channel 2">
              <a:extLst>
                <a:ext uri="{FF2B5EF4-FFF2-40B4-BE49-F238E27FC236}">
                  <a16:creationId xmlns:a16="http://schemas.microsoft.com/office/drawing/2014/main" id="{1D3A2009-D3B5-645F-85C6-4A3398D10E4A}"/>
                </a:ext>
              </a:extLst>
            </xdr:cNvPr>
            <xdr:cNvGraphicFramePr/>
          </xdr:nvGraphicFramePr>
          <xdr:xfrm>
            <a:off x="0" y="0"/>
            <a:ext cx="0" cy="0"/>
          </xdr:xfrm>
          <a:graphic>
            <a:graphicData uri="http://schemas.microsoft.com/office/drawing/2010/slicer">
              <sle:slicer xmlns:sle="http://schemas.microsoft.com/office/drawing/2010/slicer" name="Sales_Channel 2"/>
            </a:graphicData>
          </a:graphic>
        </xdr:graphicFrame>
      </mc:Choice>
      <mc:Fallback xmlns="">
        <xdr:sp macro="" textlink="">
          <xdr:nvSpPr>
            <xdr:cNvPr id="0" name=""/>
            <xdr:cNvSpPr>
              <a:spLocks noTextEdit="1"/>
            </xdr:cNvSpPr>
          </xdr:nvSpPr>
          <xdr:spPr>
            <a:xfrm>
              <a:off x="16025541" y="1838764"/>
              <a:ext cx="1828800" cy="11829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247650</xdr:colOff>
      <xdr:row>0</xdr:row>
      <xdr:rowOff>38100</xdr:rowOff>
    </xdr:from>
    <xdr:to>
      <xdr:col>10</xdr:col>
      <xdr:colOff>104775</xdr:colOff>
      <xdr:row>10</xdr:row>
      <xdr:rowOff>0</xdr:rowOff>
    </xdr:to>
    <mc:AlternateContent xmlns:mc="http://schemas.openxmlformats.org/markup-compatibility/2006" xmlns:a14="http://schemas.microsoft.com/office/drawing/2010/main">
      <mc:Choice Requires="a14">
        <xdr:graphicFrame macro="">
          <xdr:nvGraphicFramePr>
            <xdr:cNvPr id="2" name="Region 2">
              <a:extLst>
                <a:ext uri="{FF2B5EF4-FFF2-40B4-BE49-F238E27FC236}">
                  <a16:creationId xmlns:a16="http://schemas.microsoft.com/office/drawing/2014/main" id="{8BB7208B-D4CC-8798-0F47-DD9FE8581B2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733925" y="38100"/>
              <a:ext cx="1828800"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285750</xdr:colOff>
      <xdr:row>10</xdr:row>
      <xdr:rowOff>28575</xdr:rowOff>
    </xdr:from>
    <xdr:to>
      <xdr:col>10</xdr:col>
      <xdr:colOff>142875</xdr:colOff>
      <xdr:row>16</xdr:row>
      <xdr:rowOff>57150</xdr:rowOff>
    </xdr:to>
    <mc:AlternateContent xmlns:mc="http://schemas.openxmlformats.org/markup-compatibility/2006" xmlns:a14="http://schemas.microsoft.com/office/drawing/2010/main">
      <mc:Choice Requires="a14">
        <xdr:graphicFrame macro="">
          <xdr:nvGraphicFramePr>
            <xdr:cNvPr id="5" name="Sales_Channel 3">
              <a:extLst>
                <a:ext uri="{FF2B5EF4-FFF2-40B4-BE49-F238E27FC236}">
                  <a16:creationId xmlns:a16="http://schemas.microsoft.com/office/drawing/2014/main" id="{DA68449D-9083-C973-A323-C5A7117C9C26}"/>
                </a:ext>
              </a:extLst>
            </xdr:cNvPr>
            <xdr:cNvGraphicFramePr/>
          </xdr:nvGraphicFramePr>
          <xdr:xfrm>
            <a:off x="0" y="0"/>
            <a:ext cx="0" cy="0"/>
          </xdr:xfrm>
          <a:graphic>
            <a:graphicData uri="http://schemas.microsoft.com/office/drawing/2010/slicer">
              <sle:slicer xmlns:sle="http://schemas.microsoft.com/office/drawing/2010/slicer" name="Sales_Channel 3"/>
            </a:graphicData>
          </a:graphic>
        </xdr:graphicFrame>
      </mc:Choice>
      <mc:Fallback xmlns="">
        <xdr:sp macro="" textlink="">
          <xdr:nvSpPr>
            <xdr:cNvPr id="0" name=""/>
            <xdr:cNvSpPr>
              <a:spLocks noTextEdit="1"/>
            </xdr:cNvSpPr>
          </xdr:nvSpPr>
          <xdr:spPr>
            <a:xfrm>
              <a:off x="4772025" y="1933575"/>
              <a:ext cx="18288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28.818088194443" createdVersion="8" refreshedVersion="8" minRefreshableVersion="3" recordCount="600" xr:uid="{A705F4E8-86DA-46AC-B425-2FBE4C37BA20}">
  <cacheSource type="worksheet">
    <worksheetSource name="Table1"/>
  </cacheSource>
  <cacheFields count="18">
    <cacheField name="Order_ID" numFmtId="0">
      <sharedItems count="6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haredItems>
    </cacheField>
    <cacheField name="Order_Date" numFmtId="14">
      <sharedItems containsSemiMixedTypes="0" containsNonDate="0" containsDate="1" containsString="0" minDate="2023-01-02T00:00:00" maxDate="2024-12-31T00:00:00" count="396">
        <d v="2023-04-13T00:00:00"/>
        <d v="2024-03-11T00:00:00"/>
        <d v="2023-09-28T00:00:00"/>
        <d v="2023-04-17T00:00:00"/>
        <d v="2023-03-13T00:00:00"/>
        <d v="2024-12-01T00:00:00"/>
        <d v="2023-01-21T00:00:00"/>
        <d v="2024-09-06T00:00:00"/>
        <d v="2023-05-02T00:00:00"/>
        <d v="2024-04-11T00:00:00"/>
        <d v="2023-08-03T00:00:00"/>
        <d v="2023-11-27T00:00:00"/>
        <d v="2024-04-03T00:00:00"/>
        <d v="2023-03-29T00:00:00"/>
        <d v="2024-01-08T00:00:00"/>
        <d v="2023-04-10T00:00:00"/>
        <d v="2024-10-25T00:00:00"/>
        <d v="2023-05-11T00:00:00"/>
        <d v="2024-10-23T00:00:00"/>
        <d v="2023-11-05T00:00:00"/>
        <d v="2023-12-10T00:00:00"/>
        <d v="2024-05-06T00:00:00"/>
        <d v="2024-02-18T00:00:00"/>
        <d v="2024-01-21T00:00:00"/>
        <d v="2023-07-11T00:00:00"/>
        <d v="2023-10-04T00:00:00"/>
        <d v="2023-06-10T00:00:00"/>
        <d v="2024-04-04T00:00:00"/>
        <d v="2023-11-10T00:00:00"/>
        <d v="2023-01-22T00:00:00"/>
        <d v="2023-09-10T00:00:00"/>
        <d v="2024-07-14T00:00:00"/>
        <d v="2024-04-19T00:00:00"/>
        <d v="2023-02-28T00:00:00"/>
        <d v="2024-05-25T00:00:00"/>
        <d v="2024-11-12T00:00:00"/>
        <d v="2024-04-20T00:00:00"/>
        <d v="2024-11-30T00:00:00"/>
        <d v="2023-07-09T00:00:00"/>
        <d v="2024-11-17T00:00:00"/>
        <d v="2024-07-16T00:00:00"/>
        <d v="2024-07-20T00:00:00"/>
        <d v="2023-09-01T00:00:00"/>
        <d v="2024-05-19T00:00:00"/>
        <d v="2024-04-29T00:00:00"/>
        <d v="2024-10-08T00:00:00"/>
        <d v="2023-06-16T00:00:00"/>
        <d v="2023-10-01T00:00:00"/>
        <d v="2024-01-23T00:00:00"/>
        <d v="2024-08-23T00:00:00"/>
        <d v="2023-11-12T00:00:00"/>
        <d v="2023-01-14T00:00:00"/>
        <d v="2023-08-30T00:00:00"/>
        <d v="2023-12-12T00:00:00"/>
        <d v="2024-07-18T00:00:00"/>
        <d v="2023-12-06T00:00:00"/>
        <d v="2023-04-02T00:00:00"/>
        <d v="2024-01-02T00:00:00"/>
        <d v="2024-03-30T00:00:00"/>
        <d v="2024-03-03T00:00:00"/>
        <d v="2024-05-23T00:00:00"/>
        <d v="2023-02-04T00:00:00"/>
        <d v="2023-07-25T00:00:00"/>
        <d v="2023-03-22T00:00:00"/>
        <d v="2024-07-15T00:00:00"/>
        <d v="2023-01-02T00:00:00"/>
        <d v="2024-01-25T00:00:00"/>
        <d v="2024-07-19T00:00:00"/>
        <d v="2023-04-16T00:00:00"/>
        <d v="2024-04-21T00:00:00"/>
        <d v="2024-12-03T00:00:00"/>
        <d v="2024-02-06T00:00:00"/>
        <d v="2024-12-30T00:00:00"/>
        <d v="2024-07-09T00:00:00"/>
        <d v="2023-06-11T00:00:00"/>
        <d v="2023-07-21T00:00:00"/>
        <d v="2023-09-27T00:00:00"/>
        <d v="2024-03-31T00:00:00"/>
        <d v="2024-04-06T00:00:00"/>
        <d v="2024-12-27T00:00:00"/>
        <d v="2023-09-09T00:00:00"/>
        <d v="2024-12-02T00:00:00"/>
        <d v="2023-10-23T00:00:00"/>
        <d v="2024-12-25T00:00:00"/>
        <d v="2024-12-20T00:00:00"/>
        <d v="2023-12-04T00:00:00"/>
        <d v="2023-02-22T00:00:00"/>
        <d v="2023-08-05T00:00:00"/>
        <d v="2023-07-07T00:00:00"/>
        <d v="2024-01-15T00:00:00"/>
        <d v="2024-05-07T00:00:00"/>
        <d v="2023-02-10T00:00:00"/>
        <d v="2023-06-06T00:00:00"/>
        <d v="2023-01-15T00:00:00"/>
        <d v="2023-03-06T00:00:00"/>
        <d v="2024-06-04T00:00:00"/>
        <d v="2023-05-09T00:00:00"/>
        <d v="2024-10-09T00:00:00"/>
        <d v="2024-04-16T00:00:00"/>
        <d v="2023-03-04T00:00:00"/>
        <d v="2023-05-19T00:00:00"/>
        <d v="2024-05-13T00:00:00"/>
        <d v="2024-08-15T00:00:00"/>
        <d v="2024-01-27T00:00:00"/>
        <d v="2024-11-05T00:00:00"/>
        <d v="2024-02-23T00:00:00"/>
        <d v="2023-10-16T00:00:00"/>
        <d v="2024-01-14T00:00:00"/>
        <d v="2024-05-04T00:00:00"/>
        <d v="2023-08-19T00:00:00"/>
        <d v="2023-01-28T00:00:00"/>
        <d v="2023-05-15T00:00:00"/>
        <d v="2023-07-20T00:00:00"/>
        <d v="2023-02-02T00:00:00"/>
        <d v="2023-02-17T00:00:00"/>
        <d v="2024-05-17T00:00:00"/>
        <d v="2024-02-11T00:00:00"/>
        <d v="2024-07-27T00:00:00"/>
        <d v="2024-12-28T00:00:00"/>
        <d v="2023-04-09T00:00:00"/>
        <d v="2024-11-14T00:00:00"/>
        <d v="2024-12-26T00:00:00"/>
        <d v="2024-06-30T00:00:00"/>
        <d v="2024-09-04T00:00:00"/>
        <d v="2024-10-04T00:00:00"/>
        <d v="2023-01-05T00:00:00"/>
        <d v="2023-08-06T00:00:00"/>
        <d v="2024-02-02T00:00:00"/>
        <d v="2024-01-28T00:00:00"/>
        <d v="2023-07-26T00:00:00"/>
        <d v="2024-07-07T00:00:00"/>
        <d v="2024-04-05T00:00:00"/>
        <d v="2024-11-21T00:00:00"/>
        <d v="2024-07-28T00:00:00"/>
        <d v="2023-08-29T00:00:00"/>
        <d v="2024-07-17T00:00:00"/>
        <d v="2023-04-06T00:00:00"/>
        <d v="2024-10-16T00:00:00"/>
        <d v="2023-06-20T00:00:00"/>
        <d v="2024-06-24T00:00:00"/>
        <d v="2023-02-05T00:00:00"/>
        <d v="2024-06-08T00:00:00"/>
        <d v="2023-06-09T00:00:00"/>
        <d v="2024-11-29T00:00:00"/>
        <d v="2023-08-31T00:00:00"/>
        <d v="2023-03-27T00:00:00"/>
        <d v="2024-07-31T00:00:00"/>
        <d v="2024-07-10T00:00:00"/>
        <d v="2024-10-07T00:00:00"/>
        <d v="2024-09-11T00:00:00"/>
        <d v="2024-10-01T00:00:00"/>
        <d v="2024-05-20T00:00:00"/>
        <d v="2023-12-14T00:00:00"/>
        <d v="2024-04-17T00:00:00"/>
        <d v="2023-08-13T00:00:00"/>
        <d v="2024-01-20T00:00:00"/>
        <d v="2024-01-12T00:00:00"/>
        <d v="2023-10-10T00:00:00"/>
        <d v="2024-09-24T00:00:00"/>
        <d v="2024-09-19T00:00:00"/>
        <d v="2023-09-16T00:00:00"/>
        <d v="2023-12-25T00:00:00"/>
        <d v="2024-12-10T00:00:00"/>
        <d v="2024-02-15T00:00:00"/>
        <d v="2024-10-10T00:00:00"/>
        <d v="2023-11-14T00:00:00"/>
        <d v="2024-11-07T00:00:00"/>
        <d v="2023-08-22T00:00:00"/>
        <d v="2024-01-09T00:00:00"/>
        <d v="2024-11-02T00:00:00"/>
        <d v="2024-08-30T00:00:00"/>
        <d v="2023-08-21T00:00:00"/>
        <d v="2024-11-22T00:00:00"/>
        <d v="2023-04-23T00:00:00"/>
        <d v="2024-05-11T00:00:00"/>
        <d v="2024-03-17T00:00:00"/>
        <d v="2023-09-25T00:00:00"/>
        <d v="2024-05-24T00:00:00"/>
        <d v="2024-01-22T00:00:00"/>
        <d v="2024-09-16T00:00:00"/>
        <d v="2024-10-03T00:00:00"/>
        <d v="2023-08-08T00:00:00"/>
        <d v="2024-02-07T00:00:00"/>
        <d v="2024-09-29T00:00:00"/>
        <d v="2023-05-10T00:00:00"/>
        <d v="2024-02-20T00:00:00"/>
        <d v="2023-09-04T00:00:00"/>
        <d v="2024-03-14T00:00:00"/>
        <d v="2023-07-22T00:00:00"/>
        <d v="2023-07-03T00:00:00"/>
        <d v="2023-05-03T00:00:00"/>
        <d v="2024-02-05T00:00:00"/>
        <d v="2023-10-21T00:00:00"/>
        <d v="2023-10-07T00:00:00"/>
        <d v="2024-09-01T00:00:00"/>
        <d v="2023-07-17T00:00:00"/>
        <d v="2023-05-24T00:00:00"/>
        <d v="2024-08-31T00:00:00"/>
        <d v="2023-05-04T00:00:00"/>
        <d v="2023-07-06T00:00:00"/>
        <d v="2023-11-22T00:00:00"/>
        <d v="2024-04-08T00:00:00"/>
        <d v="2023-12-15T00:00:00"/>
        <d v="2024-10-21T00:00:00"/>
        <d v="2023-05-27T00:00:00"/>
        <d v="2023-05-28T00:00:00"/>
        <d v="2024-12-11T00:00:00"/>
        <d v="2024-05-03T00:00:00"/>
        <d v="2024-07-04T00:00:00"/>
        <d v="2024-10-02T00:00:00"/>
        <d v="2023-05-31T00:00:00"/>
        <d v="2024-02-19T00:00:00"/>
        <d v="2023-10-25T00:00:00"/>
        <d v="2024-09-02T00:00:00"/>
        <d v="2023-09-20T00:00:00"/>
        <d v="2024-09-15T00:00:00"/>
        <d v="2024-07-25T00:00:00"/>
        <d v="2023-10-31T00:00:00"/>
        <d v="2023-09-11T00:00:00"/>
        <d v="2024-10-13T00:00:00"/>
        <d v="2024-03-28T00:00:00"/>
        <d v="2023-02-06T00:00:00"/>
        <d v="2023-01-09T00:00:00"/>
        <d v="2024-10-20T00:00:00"/>
        <d v="2023-07-27T00:00:00"/>
        <d v="2024-02-08T00:00:00"/>
        <d v="2023-06-01T00:00:00"/>
        <d v="2023-02-23T00:00:00"/>
        <d v="2023-04-30T00:00:00"/>
        <d v="2024-11-03T00:00:00"/>
        <d v="2024-08-09T00:00:00"/>
        <d v="2024-02-24T00:00:00"/>
        <d v="2024-02-26T00:00:00"/>
        <d v="2023-04-14T00:00:00"/>
        <d v="2023-08-15T00:00:00"/>
        <d v="2023-04-22T00:00:00"/>
        <d v="2023-06-02T00:00:00"/>
        <d v="2024-12-06T00:00:00"/>
        <d v="2023-06-12T00:00:00"/>
        <d v="2024-11-11T00:00:00"/>
        <d v="2024-08-02T00:00:00"/>
        <d v="2024-05-18T00:00:00"/>
        <d v="2023-07-14T00:00:00"/>
        <d v="2024-11-18T00:00:00"/>
        <d v="2024-04-14T00:00:00"/>
        <d v="2024-01-10T00:00:00"/>
        <d v="2024-10-31T00:00:00"/>
        <d v="2023-02-07T00:00:00"/>
        <d v="2023-08-18T00:00:00"/>
        <d v="2023-12-31T00:00:00"/>
        <d v="2024-03-13T00:00:00"/>
        <d v="2023-01-27T00:00:00"/>
        <d v="2023-08-14T00:00:00"/>
        <d v="2023-10-11T00:00:00"/>
        <d v="2024-04-25T00:00:00"/>
        <d v="2024-05-30T00:00:00"/>
        <d v="2023-02-18T00:00:00"/>
        <d v="2024-05-26T00:00:00"/>
        <d v="2023-01-17T00:00:00"/>
        <d v="2023-06-21T00:00:00"/>
        <d v="2023-06-07T00:00:00"/>
        <d v="2023-02-15T00:00:00"/>
        <d v="2024-06-01T00:00:00"/>
        <d v="2023-10-29T00:00:00"/>
        <d v="2023-06-30T00:00:00"/>
        <d v="2024-08-29T00:00:00"/>
        <d v="2023-04-26T00:00:00"/>
        <d v="2023-07-10T00:00:00"/>
        <d v="2023-09-13T00:00:00"/>
        <d v="2023-11-19T00:00:00"/>
        <d v="2023-05-08T00:00:00"/>
        <d v="2023-01-18T00:00:00"/>
        <d v="2024-07-23T00:00:00"/>
        <d v="2024-11-16T00:00:00"/>
        <d v="2024-09-17T00:00:00"/>
        <d v="2023-10-15T00:00:00"/>
        <d v="2024-10-24T00:00:00"/>
        <d v="2024-09-30T00:00:00"/>
        <d v="2023-06-04T00:00:00"/>
        <d v="2023-09-03T00:00:00"/>
        <d v="2023-06-25T00:00:00"/>
        <d v="2023-02-08T00:00:00"/>
        <d v="2024-06-21T00:00:00"/>
        <d v="2024-02-12T00:00:00"/>
        <d v="2024-11-15T00:00:00"/>
        <d v="2023-01-20T00:00:00"/>
        <d v="2023-11-17T00:00:00"/>
        <d v="2024-02-04T00:00:00"/>
        <d v="2024-10-15T00:00:00"/>
        <d v="2024-04-15T00:00:00"/>
        <d v="2023-05-23T00:00:00"/>
        <d v="2023-12-20T00:00:00"/>
        <d v="2023-02-20T00:00:00"/>
        <d v="2024-10-26T00:00:00"/>
        <d v="2024-11-28T00:00:00"/>
        <d v="2023-05-05T00:00:00"/>
        <d v="2023-05-30T00:00:00"/>
        <d v="2023-12-08T00:00:00"/>
        <d v="2023-11-01T00:00:00"/>
        <d v="2024-03-19T00:00:00"/>
        <d v="2023-09-21T00:00:00"/>
        <d v="2023-07-15T00:00:00"/>
        <d v="2023-12-16T00:00:00"/>
        <d v="2023-02-16T00:00:00"/>
        <d v="2024-10-17T00:00:00"/>
        <d v="2023-09-26T00:00:00"/>
        <d v="2024-01-05T00:00:00"/>
        <d v="2024-09-27T00:00:00"/>
        <d v="2024-10-18T00:00:00"/>
        <d v="2024-08-26T00:00:00"/>
        <d v="2023-02-27T00:00:00"/>
        <d v="2024-04-18T00:00:00"/>
        <d v="2023-04-27T00:00:00"/>
        <d v="2023-05-07T00:00:00"/>
        <d v="2024-09-25T00:00:00"/>
        <d v="2024-05-27T00:00:00"/>
        <d v="2023-04-28T00:00:00"/>
        <d v="2024-07-13T00:00:00"/>
        <d v="2024-05-02T00:00:00"/>
        <d v="2023-08-25T00:00:00"/>
        <d v="2023-09-29T00:00:00"/>
        <d v="2023-07-08T00:00:00"/>
        <d v="2024-12-04T00:00:00"/>
        <d v="2024-03-22T00:00:00"/>
        <d v="2024-08-03T00:00:00"/>
        <d v="2023-03-17T00:00:00"/>
        <d v="2023-06-03T00:00:00"/>
        <d v="2024-03-10T00:00:00"/>
        <d v="2024-11-27T00:00:00"/>
        <d v="2023-10-12T00:00:00"/>
        <d v="2023-03-10T00:00:00"/>
        <d v="2023-04-04T00:00:00"/>
        <d v="2023-07-23T00:00:00"/>
        <d v="2024-03-07T00:00:00"/>
        <d v="2023-12-07T00:00:00"/>
        <d v="2024-09-03T00:00:00"/>
        <d v="2023-12-23T00:00:00"/>
        <d v="2023-01-23T00:00:00"/>
        <d v="2024-06-05T00:00:00"/>
        <d v="2023-06-29T00:00:00"/>
        <d v="2023-08-11T00:00:00"/>
        <d v="2023-11-21T00:00:00"/>
        <d v="2023-01-16T00:00:00"/>
        <d v="2023-12-02T00:00:00"/>
        <d v="2023-09-15T00:00:00"/>
        <d v="2024-11-20T00:00:00"/>
        <d v="2024-06-28T00:00:00"/>
        <d v="2024-03-02T00:00:00"/>
        <d v="2024-07-30T00:00:00"/>
        <d v="2024-02-21T00:00:00"/>
        <d v="2023-06-17T00:00:00"/>
        <d v="2023-02-12T00:00:00"/>
        <d v="2024-02-01T00:00:00"/>
        <d v="2023-01-12T00:00:00"/>
        <d v="2023-03-31T00:00:00"/>
        <d v="2024-08-27T00:00:00"/>
        <d v="2024-08-24T00:00:00"/>
        <d v="2024-02-22T00:00:00"/>
        <d v="2023-04-25T00:00:00"/>
        <d v="2024-09-08T00:00:00"/>
        <d v="2024-05-15T00:00:00"/>
        <d v="2023-03-16T00:00:00"/>
        <d v="2024-02-17T00:00:00"/>
        <d v="2024-01-11T00:00:00"/>
        <d v="2024-12-29T00:00:00"/>
        <d v="2024-11-06T00:00:00"/>
        <d v="2024-01-29T00:00:00"/>
        <d v="2024-04-01T00:00:00"/>
        <d v="2024-11-19T00:00:00"/>
        <d v="2024-07-01T00:00:00"/>
        <d v="2024-01-04T00:00:00"/>
        <d v="2024-11-25T00:00:00"/>
        <d v="2023-10-06T00:00:00"/>
        <d v="2023-09-30T00:00:00"/>
        <d v="2023-03-03T00:00:00"/>
        <d v="2024-08-18T00:00:00"/>
        <d v="2023-01-19T00:00:00"/>
        <d v="2023-06-26T00:00:00"/>
        <d v="2024-01-31T00:00:00"/>
        <d v="2024-03-20T00:00:00"/>
        <d v="2023-09-22T00:00:00"/>
        <d v="2024-12-18T00:00:00"/>
        <d v="2024-01-19T00:00:00"/>
        <d v="2023-01-25T00:00:00"/>
        <d v="2024-04-13T00:00:00"/>
        <d v="2024-04-28T00:00:00"/>
        <d v="2024-07-22T00:00:00"/>
        <d v="2023-04-19T00:00:00"/>
        <d v="2024-11-23T00:00:00"/>
        <d v="2023-02-11T00:00:00"/>
        <d v="2023-07-05T00:00:00"/>
        <d v="2023-05-13T00:00:00"/>
        <d v="2023-08-23T00:00:00"/>
        <d v="2024-10-19T00:00:00"/>
        <d v="2024-08-10T00:00:00"/>
        <d v="2023-03-15T00:00:00"/>
      </sharedItems>
      <fieldGroup par="16"/>
    </cacheField>
    <cacheField name="Product" numFmtId="0">
      <sharedItems count="5">
        <s v="Phone"/>
        <s v="Printer"/>
        <s v="Laptop"/>
        <s v="Monitor"/>
        <s v="Tablet"/>
      </sharedItems>
    </cacheField>
    <cacheField name="Category" numFmtId="0">
      <sharedItems count="2">
        <s v="Accessories"/>
        <s v="Electronics"/>
      </sharedItems>
    </cacheField>
    <cacheField name="Region" numFmtId="0">
      <sharedItems count="5">
        <s v="Ibadan"/>
        <s v="Kano"/>
        <s v="Port Harcourt"/>
        <s v="Abuja"/>
        <s v="Lagos"/>
      </sharedItems>
    </cacheField>
    <cacheField name="Customer_Name" numFmtId="0">
      <sharedItems count="6">
        <s v="Jane"/>
        <s v="Grace"/>
        <s v="John"/>
        <s v="David"/>
        <s v="Paul"/>
        <s v="Mary"/>
      </sharedItems>
    </cacheField>
    <cacheField name="Sales_Channel" numFmtId="0">
      <sharedItems count="3">
        <s v="Retail"/>
        <s v="Wholesale"/>
        <s v="Online"/>
      </sharedItems>
    </cacheField>
    <cacheField name="Quantity" numFmtId="0">
      <sharedItems containsSemiMixedTypes="0" containsString="0" containsNumber="1" containsInteger="1" minValue="1" maxValue="9"/>
    </cacheField>
    <cacheField name="Unit_Price" numFmtId="0">
      <sharedItems containsSemiMixedTypes="0" containsString="0" containsNumber="1" containsInteger="1" minValue="50336" maxValue="499779"/>
    </cacheField>
    <cacheField name="Revenue" numFmtId="0">
      <sharedItems containsSemiMixedTypes="0" containsString="0" containsNumber="1" containsInteger="1" minValue="50336" maxValue="4418820"/>
    </cacheField>
    <cacheField name="Cost" numFmtId="0">
      <sharedItems containsSemiMixedTypes="0" containsString="0" containsNumber="1" minValue="29635.180531475689" maxValue="3295181.4222688498" count="600">
        <n v="1072543.3755191551"/>
        <n v="3295181.4222688498"/>
        <n v="404863.94233833958"/>
        <n v="445053.70734447119"/>
        <n v="492654.32389423909"/>
        <n v="280899.14073390717"/>
        <n v="202962.94494475221"/>
        <n v="2461725.1435266351"/>
        <n v="547232.6786648212"/>
        <n v="249710.8514672663"/>
        <n v="612543.74388341745"/>
        <n v="1108435.125142751"/>
        <n v="1955356.307032455"/>
        <n v="232557.033613812"/>
        <n v="696618.19192529074"/>
        <n v="173854.37072076579"/>
        <n v="1317182.2875720609"/>
        <n v="40956.946516068587"/>
        <n v="1649364.9975029649"/>
        <n v="1862434.7685149871"/>
        <n v="1896176.57083889"/>
        <n v="513885.64847741241"/>
        <n v="1758528.0812227591"/>
        <n v="469796.84219370107"/>
        <n v="1347387.109042977"/>
        <n v="1368298.2212355291"/>
        <n v="742353.66833472683"/>
        <n v="1552013.589126226"/>
        <n v="919885.80502594891"/>
        <n v="306924.6131513252"/>
        <n v="1298993.161749227"/>
        <n v="2513168.666184878"/>
        <n v="2065936.921791262"/>
        <n v="483985.42321930447"/>
        <n v="552076.98142474447"/>
        <n v="2101476.3003303469"/>
        <n v="238883.83858388069"/>
        <n v="1278051.1451412409"/>
        <n v="499621.87898655748"/>
        <n v="626517.17699627148"/>
        <n v="2204355.7865124829"/>
        <n v="166633.48855705021"/>
        <n v="768845.84843119606"/>
        <n v="591600.89160094527"/>
        <n v="984872.37267427414"/>
        <n v="1326548.4549019909"/>
        <n v="1023553.401501455"/>
        <n v="1380973.699374371"/>
        <n v="526182.56561202137"/>
        <n v="1647603.7238610131"/>
        <n v="465877.52840225218"/>
        <n v="721785.56083794043"/>
        <n v="2715381.0761816679"/>
        <n v="476659.57057934679"/>
        <n v="158813.47609337131"/>
        <n v="1453718.6557415931"/>
        <n v="2351102.7573208581"/>
        <n v="1627489.386772596"/>
        <n v="999716.14938494796"/>
        <n v="272550.0953138551"/>
        <n v="639896.0580934257"/>
        <n v="1638669.8428597939"/>
        <n v="171139.98207443839"/>
        <n v="2210708.3740564492"/>
        <n v="175946.125132735"/>
        <n v="1230915.3042404519"/>
        <n v="128413.7838763422"/>
        <n v="1320580.982323651"/>
        <n v="618039.73929856904"/>
        <n v="143216.68115292821"/>
        <n v="818596.01486620051"/>
        <n v="1524484.115522349"/>
        <n v="2814883.2112288871"/>
        <n v="690746.13811321475"/>
        <n v="983386.52739006269"/>
        <n v="1541582.7497799201"/>
        <n v="157621.35127109839"/>
        <n v="213430.0198357754"/>
        <n v="2860988.7865752298"/>
        <n v="280518.38195551821"/>
        <n v="526741.40562016936"/>
        <n v="218428.53413360979"/>
        <n v="888729.53854822181"/>
        <n v="2424698.2438548552"/>
        <n v="366730.13990367192"/>
        <n v="1401547.128598229"/>
        <n v="2179731.9773193202"/>
        <n v="745613.05532124836"/>
        <n v="115231.764472528"/>
        <n v="591623.08949169831"/>
        <n v="265769.20089959592"/>
        <n v="1121466.698625572"/>
        <n v="240190.39086771151"/>
        <n v="340570.83859209548"/>
        <n v="992043.74083220935"/>
        <n v="1609241.375232311"/>
        <n v="1345430.4579276191"/>
        <n v="1064771.5109843391"/>
        <n v="1093874.080918004"/>
        <n v="968843.27078007616"/>
        <n v="1208221.195980727"/>
        <n v="568256.23689460044"/>
        <n v="329864.26874027558"/>
        <n v="50715.02877009481"/>
        <n v="399019.55555399187"/>
        <n v="277073.63762175012"/>
        <n v="308811.17620455503"/>
        <n v="275707.6563400852"/>
        <n v="586935.6962650622"/>
        <n v="1304942.446459058"/>
        <n v="494363.25044499087"/>
        <n v="307630.70240055519"/>
        <n v="162991.87662763119"/>
        <n v="1391448.151295983"/>
        <n v="433335.58748783759"/>
        <n v="2407267.2909122328"/>
        <n v="329332.97980814282"/>
        <n v="560062.32304984739"/>
        <n v="685911.0386521552"/>
        <n v="339139.786515382"/>
        <n v="1954704.298435058"/>
        <n v="293977.78257927782"/>
        <n v="2137690.0604336541"/>
        <n v="1425524.967932401"/>
        <n v="146455.6217308575"/>
        <n v="98329.13069153174"/>
        <n v="1416155.3744150801"/>
        <n v="643529.12757485104"/>
        <n v="262149.49161710049"/>
        <n v="266591.28981699742"/>
        <n v="596411.5173411899"/>
        <n v="2272034.282430992"/>
        <n v="2972180.588490067"/>
        <n v="352846.19055338751"/>
        <n v="257243.55551497289"/>
        <n v="440589.65622194507"/>
        <n v="1031555.224309444"/>
        <n v="1358459.6620505061"/>
        <n v="2417283.4311230928"/>
        <n v="69137.100627171531"/>
        <n v="2505284.851411195"/>
        <n v="1359854.3204883051"/>
        <n v="205419.7643035072"/>
        <n v="1158666.746127177"/>
        <n v="1618566.5102338621"/>
        <n v="787377.80550762382"/>
        <n v="682168.13723926921"/>
        <n v="2048092.833197969"/>
        <n v="2688630.7321716188"/>
        <n v="657173.41996458545"/>
        <n v="657148.26860575425"/>
        <n v="663802.62497714418"/>
        <n v="832383.73295488616"/>
        <n v="499453.00684255722"/>
        <n v="102652.1981145422"/>
        <n v="115697.0873098422"/>
        <n v="712241.71883622336"/>
        <n v="59804.275949801617"/>
        <n v="355632.68089726398"/>
        <n v="1163270.6004465141"/>
        <n v="1215283.244523261"/>
        <n v="175088.32593739781"/>
        <n v="1174435.4618846751"/>
        <n v="58147.682265708907"/>
        <n v="267587.35788417398"/>
        <n v="1665011.369236321"/>
        <n v="646717.99144033901"/>
        <n v="746333.12329574442"/>
        <n v="1042229.423282891"/>
        <n v="211124.70340346149"/>
        <n v="592630.2353349101"/>
        <n v="1957803.776610469"/>
        <n v="729495.21618692903"/>
        <n v="1540620.051666365"/>
        <n v="1903570.397731272"/>
        <n v="514866.91151693178"/>
        <n v="381774.49824182398"/>
        <n v="456776.69076924812"/>
        <n v="265320.14204570919"/>
        <n v="1133477.351705231"/>
        <n v="925685.93030711776"/>
        <n v="1129480.0668629131"/>
        <n v="1157529.4361893029"/>
        <n v="954440.16240675154"/>
        <n v="529021.91041132435"/>
        <n v="1096774.5463371649"/>
        <n v="1750758.7800540079"/>
        <n v="599494.98561525112"/>
        <n v="2258537.2473271871"/>
        <n v="464771.20470965578"/>
        <n v="1701909.3936070891"/>
        <n v="1282365.621619812"/>
        <n v="927222.85998444329"/>
        <n v="98486.932855899286"/>
        <n v="80514.409238781431"/>
        <n v="1831484.9356826991"/>
        <n v="927404.78287234588"/>
        <n v="1275578.2949261209"/>
        <n v="1646173.672663189"/>
        <n v="401307.23634609987"/>
        <n v="215722.0817391632"/>
        <n v="1438003.921197013"/>
        <n v="137446.86349335109"/>
        <n v="353370.44015986542"/>
        <n v="1727861.3444012441"/>
        <n v="615019.6178260243"/>
        <n v="589826.02149741375"/>
        <n v="654537.9034517199"/>
        <n v="338865.26823317801"/>
        <n v="131801.88768296011"/>
        <n v="1164987.682268203"/>
        <n v="630331.05173061136"/>
        <n v="934170.56083159056"/>
        <n v="2068614.636732687"/>
        <n v="1819112.9476245991"/>
        <n v="1473877.803378294"/>
        <n v="687310.50186435704"/>
        <n v="1123348.6620012261"/>
        <n v="883697.71217882726"/>
        <n v="1372715.04119715"/>
        <n v="1081479.315947037"/>
        <n v="737788.24417696113"/>
        <n v="629765.70862959337"/>
        <n v="549514.20218323288"/>
        <n v="1379556.6209309511"/>
        <n v="376116.73751251999"/>
        <n v="722274.1551661581"/>
        <n v="344723.3605306939"/>
        <n v="908115.06903668551"/>
        <n v="1523052.1557948231"/>
        <n v="128324.7859223561"/>
        <n v="404273.08268988761"/>
        <n v="2153794.4294877341"/>
        <n v="1089395.823304991"/>
        <n v="561140.49904994783"/>
        <n v="1101203.5018279101"/>
        <n v="72832.836513332135"/>
        <n v="234605.8934014799"/>
        <n v="936064.88820945576"/>
        <n v="545147.82671313826"/>
        <n v="925986.12274293159"/>
        <n v="679171.07959083666"/>
        <n v="382094.3104384563"/>
        <n v="817217.02408712625"/>
        <n v="1066338.7428370351"/>
        <n v="778778.60988682532"/>
        <n v="218445.56345557631"/>
        <n v="445410.14783556922"/>
        <n v="264331.65491497371"/>
        <n v="274087.2177524846"/>
        <n v="600926.74844653415"/>
        <n v="582751.16501952265"/>
        <n v="126361.95101035231"/>
        <n v="2338262.6878063041"/>
        <n v="828540.94885215885"/>
        <n v="256834.75019471601"/>
        <n v="60489.728186646142"/>
        <n v="441957.52401930088"/>
        <n v="1147475.450726364"/>
        <n v="1622592.430510791"/>
        <n v="217397.41818758711"/>
        <n v="257136.10763233801"/>
        <n v="428400.94964810682"/>
        <n v="1053952.9215657851"/>
        <n v="241550.0352102516"/>
        <n v="674047.46028715407"/>
        <n v="976573.79044157639"/>
        <n v="673239.58005375706"/>
        <n v="665349.07947784825"/>
        <n v="234503.09267483681"/>
        <n v="1976077.2917765831"/>
        <n v="318837.10133087047"/>
        <n v="2809308.5258769789"/>
        <n v="42761.652096395861"/>
        <n v="1165650.104977468"/>
        <n v="1746260.725007528"/>
        <n v="185676.73878510561"/>
        <n v="1534745.9383133531"/>
        <n v="917491.81096527365"/>
        <n v="1734870.4129877491"/>
        <n v="286154.84221856447"/>
        <n v="149393.38938992549"/>
        <n v="2532561.531513114"/>
        <n v="944590.93890106189"/>
        <n v="179046.89241885059"/>
        <n v="3130566.25105011"/>
        <n v="484691.78668438777"/>
        <n v="399000.53925096232"/>
        <n v="1712073.4262195891"/>
        <n v="691889.20393244328"/>
        <n v="324325.51473395643"/>
        <n v="169080.69528306651"/>
        <n v="444570.89975977282"/>
        <n v="1785016.897676396"/>
        <n v="544589.86009988282"/>
        <n v="1521897.15828649"/>
        <n v="289246.0938629494"/>
        <n v="880509.70692364615"/>
        <n v="592899.34635784617"/>
        <n v="686809.34539860918"/>
        <n v="956684.06359932909"/>
        <n v="342617.57638066972"/>
        <n v="1263194.602640992"/>
        <n v="693985.32262035005"/>
        <n v="1383784.7583240671"/>
        <n v="903605.3791945416"/>
        <n v="283857.56082012202"/>
        <n v="1777125.202165162"/>
        <n v="1146426.09163102"/>
        <n v="2447720.642578186"/>
        <n v="1691309.736796699"/>
        <n v="228844.4318784237"/>
        <n v="124041.6806955713"/>
        <n v="237448.0634110292"/>
        <n v="690968.78420287324"/>
        <n v="1881263.2773502311"/>
        <n v="376838.11478085758"/>
        <n v="2005223.183134441"/>
        <n v="1326853.826942706"/>
        <n v="182609.0393594862"/>
        <n v="1802903.8156989079"/>
        <n v="753934.05871287"/>
        <n v="1160404.5349790701"/>
        <n v="237796.79070544249"/>
        <n v="245167.94870617171"/>
        <n v="380332.26493611571"/>
        <n v="308183.96757930343"/>
        <n v="1777980.275702314"/>
        <n v="1472352.869674478"/>
        <n v="1052069.2310716489"/>
        <n v="1067409.662263026"/>
        <n v="1048325.547687621"/>
        <n v="1051467.613558497"/>
        <n v="2360442.0852459292"/>
        <n v="623288.46776205511"/>
        <n v="207122.12654517859"/>
        <n v="1230777.937872444"/>
        <n v="928803.9280586486"/>
        <n v="828538.12362880644"/>
        <n v="431491.47341870458"/>
        <n v="2062220.4235065179"/>
        <n v="242674.29872969919"/>
        <n v="1127376.4940517889"/>
        <n v="384779.0436492624"/>
        <n v="1165201.833792208"/>
        <n v="559914.8941610927"/>
        <n v="29635.180531475689"/>
        <n v="888284.81860634941"/>
        <n v="416043.62408332858"/>
        <n v="472945.67200492031"/>
        <n v="312700.48720488022"/>
        <n v="641032.60923706146"/>
        <n v="333464.71671157342"/>
        <n v="100387.4392552315"/>
        <n v="717877.41398120963"/>
        <n v="458992.18667508528"/>
        <n v="291402.60861972457"/>
        <n v="323844.99494659482"/>
        <n v="656465.37078307627"/>
        <n v="1580730.090586928"/>
        <n v="1852659.0198267"/>
        <n v="1447194.823094412"/>
        <n v="440218.85631320323"/>
        <n v="2283627.7703959942"/>
        <n v="1184026.4311061681"/>
        <n v="2160155.8050121898"/>
        <n v="1363812.1913779459"/>
        <n v="1563437.65521017"/>
        <n v="616263.05999375065"/>
        <n v="191639.53210199231"/>
        <n v="2304538.4121630308"/>
        <n v="221328.16190463019"/>
        <n v="76541.994318068406"/>
        <n v="1021164.077798478"/>
        <n v="1535018.83743275"/>
        <n v="1269419.5815731001"/>
        <n v="1170837.253063631"/>
        <n v="497225.48599908809"/>
        <n v="1010388.131369689"/>
        <n v="1140770.048775556"/>
        <n v="1289685.907407722"/>
        <n v="791893.49317889591"/>
        <n v="1663007.5838944281"/>
        <n v="1218084.2735799211"/>
        <n v="233152.88396971091"/>
        <n v="1268237.590872963"/>
        <n v="670991.07375311304"/>
        <n v="2337526.8379942221"/>
        <n v="769444.0911921144"/>
        <n v="2805829.303268943"/>
        <n v="1283049.621945922"/>
        <n v="1353471.7052598239"/>
        <n v="372833.59367311507"/>
        <n v="2278632.979391424"/>
        <n v="232181.34373280301"/>
        <n v="2236544.939028041"/>
        <n v="1368402.749787777"/>
        <n v="1064267.407327537"/>
        <n v="604182.06973719993"/>
        <n v="602654.24487255688"/>
        <n v="438285.69469489309"/>
        <n v="451313.31529218209"/>
        <n v="1111797.809176604"/>
        <n v="896093.80042202771"/>
        <n v="186658.93958538881"/>
        <n v="208421.26942844031"/>
        <n v="425937.49724538799"/>
        <n v="740788.09446602222"/>
        <n v="1042787.460263319"/>
        <n v="496050.20196138008"/>
        <n v="1464806.425398276"/>
        <n v="1371494.1600559531"/>
        <n v="1674250.040734116"/>
        <n v="938009.62479394558"/>
        <n v="505426.27409539639"/>
        <n v="488322.2051526549"/>
        <n v="1316007.4640358959"/>
        <n v="1289538.5994182851"/>
        <n v="1862717.2228822401"/>
        <n v="133284.11567203101"/>
        <n v="36601.002919264683"/>
        <n v="465427.85167711478"/>
        <n v="546427.02006712602"/>
        <n v="1428335.259705883"/>
        <n v="190997.47078746851"/>
        <n v="135483.19309245949"/>
        <n v="69471.022195451966"/>
        <n v="325595.0304884169"/>
        <n v="521550.1524421217"/>
        <n v="226313.72435610849"/>
        <n v="568233.50707384071"/>
        <n v="174745.31643896669"/>
        <n v="543483.92916114803"/>
        <n v="1339730.0227864829"/>
        <n v="1394740.18955654"/>
        <n v="147077.7970556145"/>
        <n v="312848.54710582778"/>
        <n v="841309.95966222044"/>
        <n v="122103.1683251389"/>
        <n v="775494.87123645132"/>
        <n v="2169097.765468841"/>
        <n v="284260.89603038848"/>
        <n v="728222.13027392002"/>
        <n v="1686383.554405903"/>
        <n v="256338.17486474861"/>
        <n v="185058.7177534574"/>
        <n v="40747.212825855517"/>
        <n v="1024897.660504463"/>
        <n v="789326.84079285944"/>
        <n v="915054.18352059927"/>
        <n v="1836302.5262767561"/>
        <n v="1721411.335123366"/>
        <n v="643371.81003602757"/>
        <n v="2273579.3436234761"/>
        <n v="379856.20501901099"/>
        <n v="43968.301909588037"/>
        <n v="688278.5886111568"/>
        <n v="1155768.0103935541"/>
        <n v="1217311.9562050791"/>
        <n v="484741.41005838278"/>
        <n v="528769.68055176211"/>
        <n v="194888.75429946891"/>
        <n v="2372529.1753848428"/>
        <n v="693344.5079692828"/>
        <n v="221101.4640854373"/>
        <n v="698641.83996687736"/>
        <n v="675064.42356101936"/>
        <n v="1985199.036540044"/>
        <n v="656717.57389660203"/>
        <n v="1123187.022359001"/>
        <n v="1400322.6691571339"/>
        <n v="2578298.9029752519"/>
        <n v="303442.02187417081"/>
        <n v="379497.82998798159"/>
        <n v="170878.0606651468"/>
        <n v="1404533.777624151"/>
        <n v="1266522.156939191"/>
        <n v="1532042.10860685"/>
        <n v="424003.39187404321"/>
        <n v="2879631.2251395858"/>
        <n v="631526.43574570271"/>
        <n v="684157.0926186752"/>
        <n v="477079.5104734354"/>
        <n v="149354.79893436751"/>
        <n v="558496.9735048248"/>
        <n v="287211.33655196283"/>
        <n v="1165010.4153555429"/>
        <n v="786840.96437426028"/>
        <n v="660876.17355453875"/>
        <n v="122581.6802064894"/>
        <n v="102263.15881606159"/>
        <n v="1836150.962796899"/>
        <n v="1668395.0393375519"/>
        <n v="2355964.9050708339"/>
        <n v="807560.31374455476"/>
        <n v="446591.9820044121"/>
        <n v="388460.39843469887"/>
        <n v="176542.95723463979"/>
        <n v="1131443.6207947801"/>
        <n v="101403.7593615665"/>
        <n v="1015446.9157429649"/>
        <n v="2030691.5385594431"/>
        <n v="995156.32763006818"/>
        <n v="1932906.2823710439"/>
        <n v="1803844.943736742"/>
        <n v="179574.87731307399"/>
        <n v="1693073.038277019"/>
        <n v="896662.23900675075"/>
        <n v="170550.10453085211"/>
        <n v="478457.90577610407"/>
        <n v="522348.75314817129"/>
        <n v="644485.1610176235"/>
        <n v="1376973.074778571"/>
        <n v="2008481.0893398039"/>
        <n v="466186.43959322642"/>
        <n v="57709.60803451114"/>
        <n v="936525.97809828434"/>
        <n v="525009.40228220355"/>
        <n v="1293331.2004449191"/>
        <n v="1210889.2171115959"/>
        <n v="1047972.317042164"/>
        <n v="1387068.225185507"/>
        <n v="1987580.4520728979"/>
        <n v="295696.51703526231"/>
        <n v="1770182.3299605099"/>
        <n v="1764716.3060614101"/>
        <n v="2573180.779882608"/>
        <n v="926292.62154528219"/>
        <n v="312909.60526816198"/>
        <n v="341850.17249326262"/>
        <n v="74940.97817382362"/>
        <n v="492367.55802258989"/>
        <n v="388779.03928732139"/>
        <n v="892477.93078151927"/>
        <n v="348235.66821139469"/>
        <n v="233310.3213918219"/>
        <n v="1331032.3789711681"/>
        <n v="2030134.95474897"/>
        <n v="662971.61583731056"/>
        <n v="1834888.8531350989"/>
        <n v="670343.30320633412"/>
        <n v="179998.18856776229"/>
        <n v="1229228.781576989"/>
        <n v="1226108.7566001071"/>
        <n v="1015568.6206350219"/>
        <n v="610196.4652110592"/>
        <n v="633063.07722240489"/>
        <n v="750411.98209729185"/>
        <n v="407914.70973924443"/>
        <n v="444870.1661075892"/>
        <n v="249987.5323173239"/>
        <n v="685489.82567682816"/>
        <n v="1471494.014861766"/>
        <n v="969521.144828049"/>
        <n v="1077234.445462157"/>
        <n v="620972.97875264252"/>
        <n v="206673.00130399721"/>
        <n v="948543.64646997489"/>
        <n v="102240.96317393221"/>
        <n v="1216141.909487735"/>
        <n v="542096.16113318561"/>
        <n v="572257.40144956065"/>
        <n v="215704.00433631259"/>
        <n v="579390.48878999974"/>
        <n v="1768548.2632089329"/>
        <n v="2163463.437172763"/>
        <n v="731560.35103326989"/>
        <n v="2046426.0260759159"/>
        <n v="1020399.959980084"/>
        <n v="779199.13495822891"/>
        <n v="1763344.7250329929"/>
        <n v="729337.82733971486"/>
        <n v="321340.0219859085"/>
        <n v="568093.5257223954"/>
        <n v="257826.418174594"/>
        <n v="281470.90965282801"/>
        <n v="637537.52187588462"/>
        <n v="335332.74767041841"/>
        <n v="170072.5923357486"/>
        <n v="715360.92216982646"/>
        <n v="1520556.9847497509"/>
        <n v="1070223.176010103"/>
        <n v="711846.64361120958"/>
        <n v="224020.40763558869"/>
        <n v="228661.24014183"/>
        <n v="422230.99468726013"/>
        <n v="977683.64512710227"/>
        <n v="572489.32065556035"/>
        <n v="216118.38218727839"/>
        <n v="1108152.821644563"/>
        <n v="1175610.3081689919"/>
        <n v="706887.03718361829"/>
        <n v="1404022.6751324551"/>
        <n v="992582.79235297127"/>
        <n v="1746574.7349090769"/>
        <n v="659500.48531424685"/>
        <n v="271677.78150735272"/>
        <n v="499076.16308024043"/>
        <n v="376068.68837726308"/>
        <n v="294694.87367264723"/>
      </sharedItems>
    </cacheField>
    <cacheField name="Discount" numFmtId="0">
      <sharedItems containsSemiMixedTypes="0" containsString="0" containsNumber="1" minValue="24.856598211052759" maxValue="775288.72716563265" count="600">
        <n v="244611.69570290149"/>
        <n v="498721.89066815347"/>
        <n v="96038.60320811643"/>
        <n v="93456.337043397056"/>
        <n v="140506.68685012721"/>
        <n v="4279.868137627268"/>
        <n v="7427.7280080149803"/>
        <n v="27318.57800152406"/>
        <n v="35927.701044837937"/>
        <n v="51967.992875643649"/>
        <n v="116571.2270292233"/>
        <n v="14003.322904314749"/>
        <n v="725756.43445666251"/>
        <n v="56148.849992034207"/>
        <n v="62643.488426642303"/>
        <n v="5054.5791043621184"/>
        <n v="81112.583108438892"/>
        <n v="1551.10840278926"/>
        <n v="69056.693928385139"/>
        <n v="247164.13191550341"/>
        <n v="125041.9428112233"/>
        <n v="46296.004876289437"/>
        <n v="602204.2382507649"/>
        <n v="81295.164143833113"/>
        <n v="406325.05220951448"/>
        <n v="64562.03905059363"/>
        <n v="110145.5893888908"/>
        <n v="333812.30344509112"/>
        <n v="19957.126794296641"/>
        <n v="403.2859958988173"/>
        <n v="306674.76600572257"/>
        <n v="471505.90473129641"/>
        <n v="294747.87242672947"/>
        <n v="70394.85573652765"/>
        <n v="75475.690221167999"/>
        <n v="13505.11340350128"/>
        <n v="21472.50245967925"/>
        <n v="70372.629960687307"/>
        <n v="16249.5580329065"/>
        <n v="196922.91497196551"/>
        <n v="356256.30389449297"/>
        <n v="40577.411156567927"/>
        <n v="86176.801066888496"/>
        <n v="88535.711379515546"/>
        <n v="72917.813292801919"/>
        <n v="39907.463046408913"/>
        <n v="48718.626275516108"/>
        <n v="388912.82827872131"/>
        <n v="116071.726977643"/>
        <n v="242719.3781580909"/>
        <n v="59252.448800146733"/>
        <n v="216385.3722074806"/>
        <n v="61938.710369016429"/>
        <n v="45263.717183408233"/>
        <n v="14254.22855220804"/>
        <n v="424735.47057516349"/>
        <n v="598238.5843084763"/>
        <n v="111092.16185701919"/>
        <n v="265078.61771501909"/>
        <n v="88814.172534617202"/>
        <n v="44736.926221995564"/>
        <n v="210300.03751122029"/>
        <n v="25571.043090074319"/>
        <n v="620602.56088248547"/>
        <n v="8043.8287137562993"/>
        <n v="294230.46550628578"/>
        <n v="12013.82704326629"/>
        <n v="370838.93587661092"/>
        <n v="83026.851304957177"/>
        <n v="30970.124267317111"/>
        <n v="199337.24987555569"/>
        <n v="313721.71354396478"/>
        <n v="698285.96696516953"/>
        <n v="15746.545291308759"/>
        <n v="224456.90817069871"/>
        <n v="64883.477171128827"/>
        <n v="21109.778078877069"/>
        <n v="31218.850088566189"/>
        <n v="309573.11535717081"/>
        <n v="42648.167514883447"/>
        <n v="171529.2832598417"/>
        <n v="10244.63159960347"/>
        <n v="225776.72189327201"/>
        <n v="316646.80793276138"/>
        <n v="15635.408269395621"/>
        <n v="63316.412217101803"/>
        <n v="593352.07822602161"/>
        <n v="251747.2259678866"/>
        <n v="33793.662319182469"/>
        <n v="211570.09080116509"/>
        <n v="20241.089859411659"/>
        <n v="106553.9599943358"/>
        <n v="62718.672109334562"/>
        <n v="52662.487026879287"/>
        <n v="150804.7418004199"/>
        <n v="150773.86018478341"/>
        <n v="239507.11818845809"/>
        <n v="215265.26542761849"/>
        <n v="54282.12381239752"/>
        <n v="127053.8791347762"/>
        <n v="169846.65132439771"/>
        <n v="114484.9888929389"/>
        <n v="18099.221897610139"/>
        <n v="9648.7858278874755"/>
        <n v="2595.068302320286"/>
        <n v="28471.21132418561"/>
        <n v="69944.035388333359"/>
        <n v="50073.69138971973"/>
        <n v="42243.754713442671"/>
        <n v="275065.22444845567"/>
        <n v="79773.805010077951"/>
        <n v="77942.535193744945"/>
        <n v="33304.138191298138"/>
        <n v="227187.59523081439"/>
        <n v="77783.692260113501"/>
        <n v="85508.465054977802"/>
        <n v="25998.19261829164"/>
        <n v="62310.033235420568"/>
        <n v="130623.5123156273"/>
        <n v="56775.403124679673"/>
        <n v="145462.176942366"/>
        <n v="660.597894016753"/>
        <n v="281655.85455784149"/>
        <n v="126212.98307786111"/>
        <n v="32889.882839412079"/>
        <n v="794.75259806207669"/>
        <n v="246522.23336860549"/>
        <n v="202778.86376070141"/>
        <n v="17867.531778504679"/>
        <n v="43238.561394458993"/>
        <n v="21726.893465301979"/>
        <n v="358301.00169346691"/>
        <n v="414392.68321563507"/>
        <n v="46475.843818812988"/>
        <n v="37332.993071818652"/>
        <n v="130857.7611275275"/>
        <n v="57744.287499451217"/>
        <n v="8266.3915277930919"/>
        <n v="531330.83051368373"/>
        <n v="12869.71093725032"/>
        <n v="607179.68225744716"/>
        <n v="280023.66140986822"/>
        <n v="41757.160866484999"/>
        <n v="196107.13383425039"/>
        <n v="356415.17408069578"/>
        <n v="206034.7461188444"/>
        <n v="110497.3118722666"/>
        <n v="138128.53271688501"/>
        <n v="184937.43621927791"/>
        <n v="47097.596230575044"/>
        <n v="47238.067086664261"/>
        <n v="71770.771455145208"/>
        <n v="156066.0937910121"/>
        <n v="88464.399037766678"/>
        <n v="14006.422299321621"/>
        <n v="25983.06532403567"/>
        <n v="21078.569218334022"/>
        <n v="1678.84468785284"/>
        <n v="16806.776981150859"/>
        <n v="156660.41847742381"/>
        <n v="99027.107541038102"/>
        <n v="16053.500518401561"/>
        <n v="177387.26446551501"/>
        <n v="18697.114462734251"/>
        <n v="1062.061405099691"/>
        <n v="317663.5209106431"/>
        <n v="157613.39689789599"/>
        <n v="209092.23630742531"/>
        <n v="383403.24528545869"/>
        <n v="1133.027878143263"/>
        <n v="23002.536076291439"/>
        <n v="641815.76291911141"/>
        <n v="117478.7831884715"/>
        <n v="228742.54234635929"/>
        <n v="324477.55717566371"/>
        <n v="111722.48241139849"/>
        <n v="138091.56804281371"/>
        <n v="177947.49541264371"/>
        <n v="56851.102375286842"/>
        <n v="105381.2318804025"/>
        <n v="320244.30237453867"/>
        <n v="16472.901287917401"/>
        <n v="106272.4666710107"/>
        <n v="232677.93784400541"/>
        <n v="45792.901010159607"/>
        <n v="94518.705722539118"/>
        <n v="71492.10472610881"/>
        <n v="166326.0981486614"/>
        <n v="285151.62153469591"/>
        <n v="94584.662664352465"/>
        <n v="139680.41592888441"/>
        <n v="272739.00166964647"/>
        <n v="242393.12848803191"/>
        <n v="7983.3784385280951"/>
        <n v="10798.48915237238"/>
        <n v="115508.9797118688"/>
        <n v="351598.10115410847"/>
        <n v="262334.796764492"/>
        <n v="410404.94521621859"/>
        <n v="32830.441864065557"/>
        <n v="59464.993227969862"/>
        <n v="387904.79920823261"/>
        <n v="25514.485341704851"/>
        <n v="87593.304574246518"/>
        <n v="257282.78671507549"/>
        <n v="25320.15472705373"/>
        <n v="131792.2337026654"/>
        <n v="125422.177765307"/>
        <n v="74227.323664572803"/>
        <n v="9677.6710369696393"/>
        <n v="161954.57116106321"/>
        <n v="76362.983199649956"/>
        <n v="123294.51269234069"/>
        <n v="421954.10821999563"/>
        <n v="451635.45724944927"/>
        <n v="110700.67414378301"/>
        <n v="84549.897450088931"/>
        <n v="110268.6589313673"/>
        <n v="52272.37221976275"/>
        <n v="290001.17490559543"/>
        <n v="270129.8829902861"/>
        <n v="100024.8891420307"/>
        <n v="173697.3401288485"/>
        <n v="169837.08808825759"/>
        <n v="383768.94305230241"/>
        <n v="22089.999865393409"/>
        <n v="196248.307340409"/>
        <n v="50231.385372318633"/>
        <n v="120716.4824422137"/>
        <n v="30793.490517572369"/>
        <n v="17595.207950440639"/>
        <n v="15795.28800833796"/>
        <n v="154611.20443085549"/>
        <n v="119483.31154070651"/>
        <n v="118529.61534135359"/>
        <n v="250834.5022476275"/>
        <n v="7477.9352598634077"/>
        <n v="70810.651432567058"/>
        <n v="257438.28027908399"/>
        <n v="145710.35580344079"/>
        <n v="38715.891846977916"/>
        <n v="125390.51804018721"/>
        <n v="102884.76991088651"/>
        <n v="149278.70112735641"/>
        <n v="114235.9027676252"/>
        <n v="142564.98960430079"/>
        <n v="39106.916655461187"/>
        <n v="74789.476725450411"/>
        <n v="9041.4050017951577"/>
        <n v="29433.50621472501"/>
        <n v="183909.17020289259"/>
        <n v="125848.1803098877"/>
        <n v="6345.128791904277"/>
        <n v="559160.54813457723"/>
        <n v="68696.042972365787"/>
        <n v="46089.883227279817"/>
        <n v="13034.091825392599"/>
        <n v="106586.455670372"/>
        <n v="285649.13301192789"/>
        <n v="173044.76039557741"/>
        <n v="58296.365692450578"/>
        <n v="9874.7794905901701"/>
        <n v="96907.590561938778"/>
        <n v="248950.14855308339"/>
        <n v="54651.331081178003"/>
        <n v="50823.202207284368"/>
        <n v="225800.38737142409"/>
        <n v="40567.57039088392"/>
        <n v="9146.3517250055866"/>
        <n v="47613.272664976452"/>
        <n v="251566.11784248051"/>
        <n v="81193.979240924455"/>
        <n v="293540.50646729133"/>
        <n v="2850.6392893206562"/>
        <n v="261564.17258412999"/>
        <n v="374398.96416594408"/>
        <n v="9160.481875956204"/>
        <n v="277237.18847359868"/>
        <n v="159444.55731771991"/>
        <n v="372371.85825185559"/>
        <n v="36153.142187927209"/>
        <n v="42994.250789461992"/>
        <n v="553114.42484507931"/>
        <n v="252455.02386663269"/>
        <n v="7018.3193561472754"/>
        <n v="661695.14041314193"/>
        <n v="92639.381079393002"/>
        <n v="73763.558201237407"/>
        <n v="208087.89888400829"/>
        <n v="173090.04945955391"/>
        <n v="69369.317170940078"/>
        <n v="5591.3101221197148"/>
        <n v="51446.255487964059"/>
        <n v="470468.53661939432"/>
        <n v="8176.2622086505426"/>
        <n v="502139.82453943748"/>
        <n v="53778.265479761612"/>
        <n v="195791.7110703396"/>
        <n v="45333.610332696699"/>
        <n v="59955.288242741583"/>
        <n v="262144.65662065247"/>
        <n v="28225.40303519334"/>
        <n v="346389.52234839852"/>
        <n v="105339.6590578147"/>
        <n v="71463.183868090782"/>
        <n v="2840.25038362032"/>
        <n v="40933.920871319227"/>
        <n v="675397.99438328494"/>
        <n v="117511.9971730423"/>
        <n v="290276.70796592272"/>
        <n v="180858.61462275739"/>
        <n v="30597.150321709742"/>
        <n v="18232.685817633519"/>
        <n v="65332.60513692876"/>
        <n v="138581.9532807025"/>
        <n v="364256.73968166241"/>
        <n v="18055.998697809649"/>
        <n v="775288.72716563265"/>
        <n v="96220.315071902529"/>
        <n v="4267.0889284663617"/>
        <n v="359876.73691086553"/>
        <n v="162516.91991517349"/>
        <n v="163639.1248421518"/>
        <n v="28719.542271286351"/>
        <n v="48752.46949698338"/>
        <n v="28900.10271295478"/>
        <n v="65906.369873239164"/>
        <n v="342748.6702014716"/>
        <n v="184367.4813637702"/>
        <n v="148251.03838693391"/>
        <n v="105198.9716134005"/>
        <n v="299247.03885320917"/>
        <n v="158545.37938862131"/>
        <n v="251494.0044836218"/>
        <n v="95851.534375657327"/>
        <n v="66317.109387960576"/>
        <n v="197321.0183873988"/>
        <n v="239396.15250937501"/>
        <n v="97230.161706293773"/>
        <n v="7182.2447335243478"/>
        <n v="118754.4486300167"/>
        <n v="26388.59636434196"/>
        <n v="67134.490813930344"/>
        <n v="24.856598211052759"/>
        <n v="302934.13410976261"/>
        <n v="120570.1147590302"/>
        <n v="7472.8043528253947"/>
        <n v="59587.10317820491"/>
        <n v="17220.657575515121"/>
        <n v="11310.653173326749"/>
        <n v="64821.174824137597"/>
        <n v="172550.22770475259"/>
        <n v="42348.192202319777"/>
        <n v="4737.9147595356462"/>
        <n v="102370.75669693929"/>
        <n v="53633.254603671841"/>
        <n v="31228.688502189802"/>
        <n v="60336.67131501175"/>
        <n v="156535.65511952649"/>
        <n v="64708.812486500959"/>
        <n v="24960.574870013861"/>
        <n v="384009.3685669204"/>
        <n v="26421.370178363901"/>
        <n v="35378.454515917547"/>
        <n v="84672.168805586538"/>
        <n v="27120.177489574038"/>
        <n v="148704.61573148661"/>
        <n v="341852.04664050438"/>
        <n v="78547.101454112519"/>
        <n v="34048.61254421706"/>
        <n v="436330.14982091519"/>
        <n v="37112.524963242213"/>
        <n v="22881.031155549601"/>
        <n v="351029.37413062138"/>
        <n v="4595.4804815975413"/>
        <n v="261514.12356842961"/>
        <n v="137038.2983878823"/>
        <n v="146829.7676884488"/>
        <n v="149235.30558921341"/>
        <n v="428462.45372384199"/>
        <n v="292827.8447973216"/>
        <n v="64127.232218186989"/>
        <n v="262513.3159756313"/>
        <n v="391978.50440477958"/>
        <n v="69896.633813373104"/>
        <n v="46731.045941308977"/>
        <n v="159457.96857828149"/>
        <n v="305410.79712753318"/>
        <n v="1942.780853349838"/>
        <n v="284375.16228649311"/>
        <n v="95131.647105405646"/>
        <n v="336076.72298222157"/>
        <n v="33006.315820879237"/>
        <n v="472190.31592168938"/>
        <n v="41.146204214303488"/>
        <n v="185131.73296403879"/>
        <n v="110356.4303385461"/>
        <n v="84018.383988878602"/>
        <n v="13272.034593685001"/>
        <n v="32139.903312896549"/>
        <n v="69108.588735147481"/>
        <n v="44231.874100785397"/>
        <n v="171885.34181601121"/>
        <n v="97926.296163430583"/>
        <n v="60722.80964955769"/>
        <n v="56026.78233116318"/>
        <n v="59311.005367323793"/>
        <n v="68876.738167701013"/>
        <n v="30678.80126665016"/>
        <n v="124153.2670365917"/>
        <n v="27145.38019696125"/>
        <n v="113541.9130014183"/>
        <n v="145544.59337974861"/>
        <n v="108109.2893273735"/>
        <n v="32709.773354485918"/>
        <n v="130666.0990456057"/>
        <n v="50941.862878886714"/>
        <n v="239001.21521965269"/>
        <n v="61110.954955798683"/>
        <n v="3364.366520526286"/>
        <n v="12381.70080678247"/>
        <n v="22429.984897410141"/>
        <n v="168573.25597557411"/>
        <n v="241758.59375157941"/>
        <n v="4401.680621297477"/>
        <n v="39083.56371896559"/>
        <n v="6525.8006610605644"/>
        <n v="108254.45062397741"/>
        <n v="33120.928278945379"/>
        <n v="57204.608943224157"/>
        <n v="2266.550721840802"/>
        <n v="31372.653768165739"/>
        <n v="120977.9178772926"/>
        <n v="335747.88859043398"/>
        <n v="494893.99733307923"/>
        <n v="37123.924916317119"/>
        <n v="78628.205058386549"/>
        <n v="58227.33211740321"/>
        <n v="11716.350143603149"/>
        <n v="65515.695288267183"/>
        <n v="212603.97049732151"/>
        <n v="30096.661705472408"/>
        <n v="117509.0489519078"/>
        <n v="74991.283247502608"/>
        <n v="58148.775352339479"/>
        <n v="8958.5763775289706"/>
        <n v="3952.2129514763592"/>
        <n v="185240.57162054619"/>
        <n v="176955.07541663389"/>
        <n v="202913.3154776397"/>
        <n v="390198.40600719152"/>
        <n v="69342.965421696616"/>
        <n v="139035.075678411"/>
        <n v="66859.216731343447"/>
        <n v="55445.216840378307"/>
        <n v="4981.5509370970804"/>
        <n v="7711.8261613096392"/>
        <n v="105660.222703401"/>
        <n v="331101.57736509922"/>
        <n v="149411.53319084601"/>
        <n v="51260.415450256201"/>
        <n v="2640.3643943050702"/>
        <n v="136257.4715231889"/>
        <n v="69691.297069797278"/>
        <n v="72855.44627101552"/>
        <n v="36799.582337188207"/>
        <n v="152635.67393306221"/>
        <n v="54566.872902580028"/>
        <n v="210127.08637711449"/>
        <n v="165297.94982211999"/>
        <n v="360782.21579172171"/>
        <n v="271043.26478539011"/>
        <n v="69438.254677426419"/>
        <n v="20896.61126043788"/>
        <n v="6243.2162926532119"/>
        <n v="414633.35510485392"/>
        <n v="383306.40680543822"/>
        <n v="438444.09026004409"/>
        <n v="99219.513054568597"/>
        <n v="608514.7453399942"/>
        <n v="13963.907925640449"/>
        <n v="74344.325967178273"/>
        <n v="42888.612848049081"/>
        <n v="30014.282199151661"/>
        <n v="57252.675434345991"/>
        <n v="16454.49200340718"/>
        <n v="186769.11086911109"/>
        <n v="163853.39333148269"/>
        <n v="72711.069923434843"/>
        <n v="4123.688823139325"/>
        <n v="7375.4533604757016"/>
        <n v="135584.0635806268"/>
        <n v="147043.8684524858"/>
        <n v="449030.53877584502"/>
        <n v="156437.64777847141"/>
        <n v="103375.6555371549"/>
        <n v="52343.981559206193"/>
        <n v="47114.37293966303"/>
        <n v="84152.485762660421"/>
        <n v="13206.12367082214"/>
        <n v="289100.43341782241"/>
        <n v="141370.99531999999"/>
        <n v="32846.434293764323"/>
        <n v="503435.46333902201"/>
        <n v="162450.92519397251"/>
        <n v="36489.94212489613"/>
        <n v="14219.31477101885"/>
        <n v="167022.8131331983"/>
        <n v="16285.28668985068"/>
        <n v="10183.452616279779"/>
        <n v="95119.814171798396"/>
        <n v="40184.714736369373"/>
        <n v="172121.02239955511"/>
        <n v="54965.413005140137"/>
        <n v="25267.164964096421"/>
        <n v="6305.4962803275503"/>
        <n v="26693.524015884799"/>
        <n v="140913.38491386099"/>
        <n v="2983.9981177387258"/>
        <n v="149871.63836738199"/>
        <n v="35554.79646445284"/>
        <n v="126266.2677772289"/>
        <n v="491794.30110855988"/>
        <n v="18247.100981326799"/>
        <n v="531745.55128070212"/>
        <n v="105414.7945850487"/>
        <n v="509803.41439513949"/>
        <n v="137783.66316109459"/>
        <n v="94924.379794630426"/>
        <n v="48419.121329624752"/>
        <n v="14911.636330209059"/>
        <n v="25241.211617974721"/>
        <n v="16334.627999623481"/>
        <n v="295743.35055610712"/>
        <n v="31862.07000511665"/>
        <n v="33904.730403827023"/>
        <n v="325388.09920322662"/>
        <n v="210069.67816108631"/>
        <n v="187243.07344293929"/>
        <n v="346836.08724709449"/>
        <n v="114150.44692095779"/>
        <n v="49212.79375512158"/>
        <n v="16415.88482646093"/>
        <n v="80286.025674687422"/>
        <n v="186442.08809404669"/>
        <n v="34853.825815673103"/>
        <n v="179118.8300279493"/>
        <n v="185347.26896561109"/>
        <n v="59189.159207087883"/>
        <n v="56408.222898688393"/>
        <n v="76073.47079335642"/>
        <n v="87982.558282684768"/>
        <n v="234298.78502932761"/>
        <n v="132049.59082254721"/>
        <n v="288244.09703380382"/>
        <n v="91681.941740424067"/>
        <n v="51229.260007579382"/>
        <n v="272626.7771649668"/>
        <n v="11046.920159364579"/>
        <n v="205024.2244940651"/>
        <n v="123287.7002631669"/>
        <n v="55588.966466949241"/>
        <n v="50637.182811559083"/>
        <n v="179955.18357067081"/>
        <n v="297912.00821695331"/>
        <n v="481533.25802604179"/>
        <n v="157526.95026859251"/>
        <n v="501658.46359921101"/>
        <n v="109642.47130343461"/>
        <n v="11755.81847977458"/>
        <n v="227042.08919180639"/>
        <n v="124817.3841048813"/>
        <n v="43698.668843313353"/>
        <n v="124861.14480623879"/>
        <n v="32514.38805492127"/>
        <n v="51959.647595462979"/>
        <n v="35399.182175799288"/>
        <n v="90480.664267160057"/>
        <n v="35841.747788414577"/>
        <n v="42852.78696298736"/>
        <n v="121756.3839948742"/>
        <n v="243882.34396875621"/>
        <n v="120957.33982150799"/>
        <n v="13828.12929327247"/>
        <n v="84413.756783615885"/>
        <n v="95470.048295578323"/>
        <n v="340895.43908097188"/>
        <n v="88059.236937259484"/>
        <n v="36625.675304061013"/>
        <n v="323068.84195365151"/>
        <n v="239549.5610922348"/>
        <n v="161451.83032274811"/>
        <n v="108354.95330124231"/>
        <n v="137494.90206199861"/>
        <n v="70137.300560958392"/>
        <n v="36141.009918928648"/>
        <n v="94.299450442172358"/>
        <n v="6013.8038984674822"/>
        <n v="141734.30013476219"/>
        <n v="27398.424530384171"/>
      </sharedItems>
    </cacheField>
    <cacheField name="Net_Revenue" numFmtId="0">
      <sharedItems containsSemiMixedTypes="0" containsString="0" containsNumber="1" minValue="42863.195647174609" maxValue="4195898.289630984" count="600">
        <n v="1886650.304297098"/>
        <n v="3906805.1093318472"/>
        <n v="450857.39679188363"/>
        <n v="744155.66295660299"/>
        <n v="591458.3131498727"/>
        <n v="435178.13186237268"/>
        <n v="371508.27199198498"/>
        <n v="3072425.4219984761"/>
        <n v="933640.29895516206"/>
        <n v="428088.00712435629"/>
        <n v="786280.77297077677"/>
        <n v="1521948.6770956849"/>
        <n v="3110283.5655433382"/>
        <n v="277211.1500079658"/>
        <n v="993338.51157335774"/>
        <n v="322367.42089563789"/>
        <n v="2306137.4168915609"/>
        <n v="59542.891597210742"/>
        <n v="2731664.3060716148"/>
        <n v="2136005.8680844959"/>
        <n v="2418038.0571887768"/>
        <n v="600043.9951237106"/>
        <n v="2440751.761749235"/>
        <n v="512694.8358561669"/>
        <n v="1734524.9477904851"/>
        <n v="2199873.960949406"/>
        <n v="1331024.4106111091"/>
        <n v="2674959.696554909"/>
        <n v="1280044.873205703"/>
        <n v="481138.71400410117"/>
        <n v="1980460.233994277"/>
        <n v="3201691.095268704"/>
        <n v="3292836.1275732699"/>
        <n v="648442.14426347241"/>
        <n v="832900.30977883202"/>
        <n v="2799468.886596499"/>
        <n v="298657.49754032068"/>
        <n v="1916631.3700393131"/>
        <n v="809236.4419670935"/>
        <n v="832233.0850280344"/>
        <n v="2615717.6961055072"/>
        <n v="237862.58884343211"/>
        <n v="1280131.198933112"/>
        <n v="1037451.2886204839"/>
        <n v="1465926.1867071979"/>
        <n v="2017906.536953591"/>
        <n v="1311896.3737244839"/>
        <n v="2049369.1717212789"/>
        <n v="740488.27302235703"/>
        <n v="1976210.6218419089"/>
        <n v="564339.5511998533"/>
        <n v="956518.6277925194"/>
        <n v="4195898.289630984"/>
        <n v="761286.28281659179"/>
        <n v="189413.77144779201"/>
        <n v="2289486.5294248359"/>
        <n v="2415513.4156915238"/>
        <n v="2196879.8381429808"/>
        <n v="1250856.382284981"/>
        <n v="445809.82746538281"/>
        <n v="950933.07377800439"/>
        <n v="2422843.9624887798"/>
        <n v="286519.95690992568"/>
        <n v="2551496.439117515"/>
        <n v="214294.17128624371"/>
        <n v="1546647.5344937141"/>
        <n v="167730.1729567337"/>
        <n v="2166129.0641233888"/>
        <n v="905362.14869504282"/>
        <n v="236770.87573268291"/>
        <n v="997722.75012444425"/>
        <n v="1636882.286456035"/>
        <n v="3331419.0330348299"/>
        <n v="1304888.454708691"/>
        <n v="1397223.0918293011"/>
        <n v="2252592.5228288709"/>
        <n v="232724.22192112289"/>
        <n v="253319.14991143381"/>
        <n v="3533768.8846428292"/>
        <n v="367736.83248511661"/>
        <n v="689106.71674015827"/>
        <n v="368576.36840039649"/>
        <n v="1445514.2781067281"/>
        <n v="3681409.192067239"/>
        <n v="572118.59173060441"/>
        <n v="1931067.587782898"/>
        <n v="2531944.921773979"/>
        <n v="1179282.7740321129"/>
        <n v="152491.33768081749"/>
        <n v="855313.90919883491"/>
        <n v="465586.91014058841"/>
        <n v="1392351.0400056641"/>
        <n v="405877.32789066539"/>
        <n v="491593.51297312073"/>
        <n v="1651400.25819958"/>
        <n v="1956117.1398152169"/>
        <n v="1777290.881811542"/>
        <n v="1654676.734572381"/>
        <n v="1626717.876187603"/>
        <n v="1219598.1208652239"/>
        <n v="1364528.3486756021"/>
        <n v="889264.01110706106"/>
        <n v="412614.77810238989"/>
        <n v="55346.214172112523"/>
        <n v="512317.93169767968"/>
        <n v="372721.7886758144"/>
        <n v="378292.96461166663"/>
        <n v="393926.30861028028"/>
        <n v="766520.24528655736"/>
        <n v="1703954.775551544"/>
        <n v="623214.19498992199"/>
        <n v="411496.46480625513"/>
        <n v="193246.86180870191"/>
        <n v="1634676.4047691859"/>
        <n v="718890.30773988646"/>
        <n v="3124699.5349450218"/>
        <n v="471416.80738170829"/>
        <n v="681069.96676457941"/>
        <n v="959178.4876843727"/>
        <n v="495828.59687532031"/>
        <n v="2378305.8230576338"/>
        <n v="510293.40210598317"/>
        <n v="2556248.145442158"/>
        <n v="2083197.0169221391"/>
        <n v="190970.11716058789"/>
        <n v="165150.2474019379"/>
        <n v="1861125.7666313951"/>
        <n v="874143.13623929862"/>
        <n v="494362.46822149528"/>
        <n v="415137.43860554101"/>
        <n v="1166548.106534698"/>
        <n v="2504982.9983065329"/>
        <n v="3349175.3167843651"/>
        <n v="523968.15618118702"/>
        <n v="320690.00692818128"/>
        <n v="598907.23887247255"/>
        <n v="1413115.7125005489"/>
        <n v="1823457.6084722071"/>
        <n v="2551833.1694863159"/>
        <n v="98630.289062749682"/>
        <n v="2801420.3177425531"/>
        <n v="2065448.3385901321"/>
        <n v="215951.83913351499"/>
        <n v="2085941.866165749"/>
        <n v="2020129.825919304"/>
        <n v="922253.25388115563"/>
        <n v="855180.68812773342"/>
        <n v="3682111.4672831148"/>
        <n v="3255149.5637807222"/>
        <n v="1138376.4037694249"/>
        <n v="909551.93291333574"/>
        <n v="1099364.228544855"/>
        <n v="1249595.906208988"/>
        <n v="663794.60096223326"/>
        <n v="150195.5777006784"/>
        <n v="185116.93467596429"/>
        <n v="1270897.430781666"/>
        <n v="93940.155312147166"/>
        <n v="472247.22301884921"/>
        <n v="1355279.581522576"/>
        <n v="2214747.8924589618"/>
        <n v="267292.49948159838"/>
        <n v="2038220.735534485"/>
        <n v="96451.885537265756"/>
        <n v="382017.9385949003"/>
        <n v="2128239.479089357"/>
        <n v="1020581.603102104"/>
        <n v="1099933.763692575"/>
        <n v="1671820.7547145409"/>
        <n v="280184.97212185682"/>
        <n v="724883.46392370854"/>
        <n v="2979469.2370808888"/>
        <n v="1163590.216811528"/>
        <n v="1796995.457653641"/>
        <n v="2122462.4428243358"/>
        <n v="710895.51758860156"/>
        <n v="602949.4319571862"/>
        <n v="714512.50458735623"/>
        <n v="337861.89762471308"/>
        <n v="1729114.768119598"/>
        <n v="1499837.697625461"/>
        <n v="1656891.098712082"/>
        <n v="2193192.53332899"/>
        <n v="1063743.0621559951"/>
        <n v="847931.09898984036"/>
        <n v="2047295.294277461"/>
        <n v="2516451.8952738908"/>
        <n v="801685.90185133857"/>
        <n v="2566032.3784653042"/>
        <n v="606153.33733564755"/>
        <n v="2781692.5840711161"/>
        <n v="1526234.998330354"/>
        <n v="1352286.8715119681"/>
        <n v="119710.6215614719"/>
        <n v="120671.51084762759"/>
        <n v="2638767.0202881312"/>
        <n v="1448586.898845891"/>
        <n v="1769370.2032355079"/>
        <n v="1785345.0547837811"/>
        <n v="508237.55813593441"/>
        <n v="320799.00677203009"/>
        <n v="2144578.2007917669"/>
        <n v="158930.51465829511"/>
        <n v="365957.69542575348"/>
        <n v="3011416.2132849251"/>
        <n v="943187.84527294629"/>
        <n v="849229.76629733457"/>
        <n v="734446.82223469298"/>
        <n v="571159.67633542721"/>
        <n v="224288.32896303039"/>
        <n v="1443285.4288389371"/>
        <n v="1146659.01680035"/>
        <n v="1318859.4873076589"/>
        <n v="2847899.8917800039"/>
        <n v="2578601.5427505509"/>
        <n v="2272781.3258562172"/>
        <n v="958438.10254991101"/>
        <n v="1938104.3410686329"/>
        <n v="1263539.627780237"/>
        <n v="1560942.8250944051"/>
        <n v="1215320.117009714"/>
        <n v="1250815.1108579689"/>
        <n v="982313.65987115144"/>
        <n v="776862.91191174241"/>
        <n v="1884036.0569476979"/>
        <n v="582078.00013460661"/>
        <n v="829841.69265959098"/>
        <n v="616539.61462768132"/>
        <n v="1658499.5175577861"/>
        <n v="2435395.509482428"/>
        <n v="163360.79204955939"/>
        <n v="708668.71199166204"/>
        <n v="2955779.7955691451"/>
        <n v="1765452.688459293"/>
        <n v="614196.38465864642"/>
        <n v="1181705.4977523719"/>
        <n v="116138.0647401366"/>
        <n v="341503.34856743301"/>
        <n v="1244130.7197209159"/>
        <n v="807079.64419655921"/>
        <n v="1280888.1081530219"/>
        <n v="782811.48195981281"/>
        <n v="441465.23008911352"/>
        <n v="944273.29887264362"/>
        <n v="1608172.0972323751"/>
        <n v="1281435.0103956989"/>
        <n v="263707.08334453881"/>
        <n v="657621.52327454963"/>
        <n v="367831.59499820479"/>
        <n v="442160.49378527497"/>
        <n v="962090.82979710738"/>
        <n v="604622.81969011226"/>
        <n v="224722.87120809569"/>
        <n v="2376414.451865423"/>
        <n v="975879.95702763426"/>
        <n v="301856.11677272018"/>
        <n v="73648.908174607408"/>
        <n v="549777.544329628"/>
        <n v="1224523.8669880719"/>
        <n v="2591959.2396044228"/>
        <n v="281225.63430754939"/>
        <n v="365059.22050940979"/>
        <n v="590340.40943806118"/>
        <n v="1428661.851446917"/>
        <n v="348546.66891882202"/>
        <n v="956315.7977927156"/>
        <n v="1067379.6126285761"/>
        <n v="1160662.4296091159"/>
        <n v="843504.64827499446"/>
        <n v="284202.72733502358"/>
        <n v="2393848.882157519"/>
        <n v="396925.02075907547"/>
        <n v="3534611.4935327088"/>
        <n v="81849.36071067935"/>
        <n v="1301987.82741587"/>
        <n v="3035989.0358340559"/>
        <n v="232929.5181240438"/>
        <n v="1646994.811526401"/>
        <n v="1400331.44268228"/>
        <n v="2708580.1417481438"/>
        <n v="356049.85781207279"/>
        <n v="216410.74921053799"/>
        <n v="2780656.575154921"/>
        <n v="1526928.976133367"/>
        <n v="325914.68064385268"/>
        <n v="3282347.8595868582"/>
        <n v="597655.61892060703"/>
        <n v="455368.44179876259"/>
        <n v="2658272.1011159918"/>
        <n v="811181.95054044609"/>
        <n v="408794.68282905989"/>
        <n v="242711.6898778803"/>
        <n v="579365.74451203598"/>
        <n v="2183406.4633806059"/>
        <n v="858013.73779134941"/>
        <n v="2109318.175460563"/>
        <n v="342137.73452023842"/>
        <n v="1354724.2889296601"/>
        <n v="792442.3896673033"/>
        <n v="1144973.711757259"/>
        <n v="1129195.3433793481"/>
        <n v="444922.59696480673"/>
        <n v="1886925.4776516019"/>
        <n v="1234444.3409421849"/>
        <n v="2494464.8161319089"/>
        <n v="1322484.7496163801"/>
        <n v="335119.07912868081"/>
        <n v="2785417.0056167152"/>
        <n v="1474204.002826958"/>
        <n v="3773034.292034077"/>
        <n v="2447200.3853772432"/>
        <n v="263298.84967829031"/>
        <n v="188644.31418236651"/>
        <n v="305911.39486307133"/>
        <n v="1232103.046719298"/>
        <n v="3222657.260318337"/>
        <n v="634390.00130219036"/>
        <n v="3169239.2728343671"/>
        <n v="1828394.684928098"/>
        <n v="286548.91107153363"/>
        <n v="2353527.2630891339"/>
        <n v="1202331.080084827"/>
        <n v="1807224.875157848"/>
        <n v="311404.45772871358"/>
        <n v="261747.53050301661"/>
        <n v="709429.89728704526"/>
        <n v="335837.63012676081"/>
        <n v="2298871.329798528"/>
        <n v="2015880.5186362299"/>
        <n v="1470108.961613066"/>
        <n v="1944287.0283865989"/>
        <n v="1690124.961146791"/>
        <n v="1387108.6206113789"/>
        <n v="3667633.995516378"/>
        <n v="708204.46562434267"/>
        <n v="266688.89061203942"/>
        <n v="2069369.9816126011"/>
        <n v="1060692.847490625"/>
        <n v="1311833.8382937061"/>
        <n v="648937.75526647561"/>
        <n v="2788443.5513699828"/>
        <n v="288740.40363565797"/>
        <n v="1461185.5091860699"/>
        <n v="547385.1434017889"/>
        <n v="1352440.865890238"/>
        <n v="593809.88524096983"/>
        <n v="42863.195647174609"/>
        <n v="1715797.896821795"/>
        <n v="698139.3424244849"/>
        <n v="825217.34682667325"/>
        <n v="382820.82517586241"/>
        <n v="756329.77229524741"/>
        <n v="449459.8077976802"/>
        <n v="194099.0852404644"/>
        <n v="896577.24330306076"/>
        <n v="715121.74539632816"/>
        <n v="385348.31149781018"/>
        <n v="425207.32868498832"/>
        <n v="932456.34488047357"/>
        <n v="2860549.1875134991"/>
        <n v="3481700.4251299859"/>
        <n v="1546985.631433079"/>
        <n v="541222.62982163613"/>
        <n v="3250717.5454840818"/>
        <n v="2145005.8311944129"/>
        <n v="3453587.8225104259"/>
        <n v="1748953.3842685129"/>
        <n v="1788327.9533594961"/>
        <n v="1072344.898545888"/>
        <n v="349223.38745578303"/>
        <n v="2792937.850179085"/>
        <n v="327526.47503675782"/>
        <n v="109924.9688444504"/>
        <n v="1675615.625869378"/>
        <n v="2313849.5195184019"/>
        <n v="1419067.8764315699"/>
        <n v="1350136.7016121179"/>
        <n v="595604.23231155123"/>
        <n v="1394901.694410786"/>
        <n v="1742295.546276158"/>
        <n v="1647536.1552026779"/>
        <n v="1225614.7677818129"/>
        <n v="2175411.6840243689"/>
        <n v="1583449.49559522"/>
        <n v="337649.3661866269"/>
        <n v="2353008.9540586909"/>
        <n v="969253.03142171842"/>
        <n v="4113409.2028724672"/>
        <n v="1389283.2191466501"/>
        <n v="3239646.837713507"/>
        <n v="1931063.352894594"/>
        <n v="1716001.277017778"/>
        <n v="456221.68417912081"/>
        <n v="2380841.6840783111"/>
        <n v="344025.85379578569"/>
        <n v="2822019.2670359612"/>
        <n v="2177627.5696614538"/>
        <n v="1714571.6160111211"/>
        <n v="959941.96540631505"/>
        <n v="826645.09668710351"/>
        <n v="552875.4112648525"/>
        <n v="714824.12589921465"/>
        <n v="1887140.6581839891"/>
        <n v="1201289.7038365691"/>
        <n v="285906.19035044231"/>
        <n v="253411.21766883679"/>
        <n v="542272.99463267624"/>
        <n v="974217.26183229894"/>
        <n v="1405585.19873335"/>
        <n v="526952.73296340834"/>
        <n v="2226445.6198030389"/>
        <n v="1793762.0869985819"/>
        <n v="2295936.406620251"/>
        <n v="1578982.710672627"/>
        <n v="962798.22664551414"/>
        <n v="703555.90095439425"/>
        <n v="2028354.137121113"/>
        <n v="1643174.784780347"/>
        <n v="2406104.045044201"/>
        <n v="235122.6334794737"/>
        <n v="55692.299193217528"/>
        <n v="567433.01510258985"/>
        <n v="857747.74402442598"/>
        <n v="1977713.40624842"/>
        <n v="278277.31937870261"/>
        <n v="165446.4362810344"/>
        <n v="125596.1993389394"/>
        <n v="521391.54937602248"/>
        <n v="947891.07172105461"/>
        <n v="277739.39105677581"/>
        <n v="854405.44927815918"/>
        <n v="275132.34623183432"/>
        <n v="665162.08212270751"/>
        <n v="1460088.1114095659"/>
        <n v="2226690.0026669209"/>
        <n v="189345.0750836829"/>
        <n v="364002.79494161351"/>
        <n v="1403157.6678825971"/>
        <n v="194423.64985639681"/>
        <n v="1068097.304711733"/>
        <n v="2606674.0295026791"/>
        <n v="352500.33829452761"/>
        <n v="961435.95104809222"/>
        <n v="2270248.716752497"/>
        <n v="362459.22464766051"/>
        <n v="258355.42362247099"/>
        <n v="59729.787048523642"/>
        <n v="1654854.428379454"/>
        <n v="933956.92458336614"/>
        <n v="1169106.6845223601"/>
        <n v="2632091.5939928079"/>
        <n v="2156423.0345783029"/>
        <n v="1131746.9243215891"/>
        <n v="3756004.783268657"/>
        <n v="679194.78315962164"/>
        <n v="55252.449062902917"/>
        <n v="960832.17383869039"/>
        <n v="1822529.777296599"/>
        <n v="1401236.422634901"/>
        <n v="633969.46680915402"/>
        <n v="676194.5845497438"/>
        <n v="303665.63560569502"/>
        <n v="3667799.528476811"/>
        <n v="818734.70293020271"/>
        <n v="311492.55372898449"/>
        <n v="1266310.4176628119"/>
        <n v="846922.32606693776"/>
        <n v="2455812.1270974199"/>
        <n v="860575.91362288548"/>
        <n v="2000462.0501778801"/>
        <n v="1966140.7842082779"/>
        <n v="3684740.7352146101"/>
        <n v="483705.74532257358"/>
        <n v="523240.38873956213"/>
        <n v="207534.7837073468"/>
        <n v="1795414.6448951459"/>
        <n v="1705221.593194562"/>
        <n v="2031749.909739956"/>
        <n v="693986.48694543145"/>
        <n v="3155797.2546600061"/>
        <n v="997372.09207435953"/>
        <n v="1035971.674032822"/>
        <n v="640697.38715195097"/>
        <n v="206078.7178008483"/>
        <n v="746953.32456565404"/>
        <n v="537543.50799659279"/>
        <n v="1378858.889130889"/>
        <n v="842142.60666851734"/>
        <n v="878696.93007656513"/>
        <n v="151759.31117686071"/>
        <n v="180115.54663952431"/>
        <n v="2719017.9364193729"/>
        <n v="2304524.1315475139"/>
        <n v="3043766.461224155"/>
        <n v="1145158.352221529"/>
        <n v="639180.34446284513"/>
        <n v="669638.01844079385"/>
        <n v="238774.62706033699"/>
        <n v="1977522.5142373401"/>
        <n v="127571.8763291779"/>
        <n v="1515659.566582178"/>
        <n v="3782143.0046799998"/>
        <n v="1462033.5657062361"/>
        <n v="2345068.5366609781"/>
        <n v="2206124.074806028"/>
        <n v="230300.0578751039"/>
        <n v="2790533.6852289811"/>
        <n v="1043205.186866802"/>
        <n v="241310.71331014929"/>
        <n v="903280.54738372017"/>
        <n v="684790.18582820159"/>
        <n v="794202.28526363068"/>
        <n v="2052772.977600445"/>
        <n v="3355611.5869948599"/>
        <n v="833206.83503590361"/>
        <n v="99499.503719672444"/>
        <n v="1460253.4759841149"/>
        <n v="632633.61508613895"/>
        <n v="2464336.0018822611"/>
        <n v="1398836.3616326179"/>
        <n v="1406860.203535547"/>
        <n v="1925648.732222771"/>
        <n v="2163511.6988914399"/>
        <n v="545998.89901867323"/>
        <n v="2221038.448719298"/>
        <n v="2455753.2054149508"/>
        <n v="2927539.58560486"/>
        <n v="1122408.336838905"/>
        <n v="441687.62020536949"/>
        <n v="388581.87867037533"/>
        <n v="124564.3636697909"/>
        <n v="620452.78838202532"/>
        <n v="474993.37200037652"/>
        <n v="1317714.649443893"/>
        <n v="454079.92999488342"/>
        <n v="421703.26959617302"/>
        <n v="1815819.9007967729"/>
        <n v="2889917.321838913"/>
        <n v="796111.92655706068"/>
        <n v="2003231.9127529049"/>
        <n v="841196.55307904212"/>
        <n v="230121.20624487841"/>
        <n v="1638214.1151735389"/>
        <n v="1481317.974325313"/>
        <n v="1818154.911905953"/>
        <n v="732924.1741843269"/>
        <n v="1024790.1699720511"/>
        <n v="822842.731034389"/>
        <n v="639174.84079291206"/>
        <n v="767953.7771013116"/>
        <n v="319503.52920664358"/>
        <n v="900913.44171731523"/>
        <n v="2161157.214970673"/>
        <n v="1745522.409177453"/>
        <n v="1296300.902966196"/>
        <n v="714022.05825957598"/>
        <n v="284843.7399924206"/>
        <n v="1406509.222835033"/>
        <n v="150529.07984063539"/>
        <n v="2158670.7755059348"/>
        <n v="603240.29973683308"/>
        <n v="709561.0335330508"/>
        <n v="268262.81718844088"/>
        <n v="776243.8164293291"/>
        <n v="2092227.9917830471"/>
        <n v="2764930.741973958"/>
        <n v="820783.04973140743"/>
        <n v="2466595.5364007889"/>
        <n v="1278049.528696565"/>
        <n v="1134852.181520225"/>
        <n v="2597733.910808193"/>
        <n v="801462.61589511868"/>
        <n v="441464.33115668659"/>
        <n v="708698.85519376118"/>
        <n v="422891.61194507871"/>
        <n v="357336.35240453703"/>
        <n v="914048.81782420073"/>
        <n v="513231.33573283989"/>
        <n v="292562.25221158541"/>
        <n v="1007129.213037013"/>
        <n v="1963747.6160051259"/>
        <n v="1385021.656031244"/>
        <n v="1132223.6601784921"/>
        <n v="306220.87070672761"/>
        <n v="351936.24321638409"/>
        <n v="572035.95170442166"/>
        <n v="1439916.560919028"/>
        <n v="942825.76306274056"/>
        <n v="348826.32469593902"/>
        <n v="1475845.158046348"/>
        <n v="2041660.4389077651"/>
        <n v="979907.16967725195"/>
        <n v="2040071.0466987579"/>
        <n v="1401421.0979380009"/>
        <n v="2770582.6994390418"/>
        <n v="841152.99008107139"/>
        <n v="499682.70054955781"/>
        <n v="759782.19610153255"/>
        <n v="583409.69986523781"/>
        <n v="537858.57546961587"/>
      </sharedItems>
    </cacheField>
    <cacheField name="PROFIT" numFmtId="0">
      <sharedItems containsSemiMixedTypes="0" containsString="0" containsNumber="1" minValue="4631.1854020177125" maxValue="1775882.3648782452" count="600">
        <n v="814106.9287779429"/>
        <n v="611623.68706299702"/>
        <n v="45993.454453544051"/>
        <n v="299101.9556121318"/>
        <n v="98803.989255633613"/>
        <n v="154278.99112846551"/>
        <n v="168545.32704723277"/>
        <n v="610700.27847184101"/>
        <n v="386407.62029034086"/>
        <n v="178377.15565708998"/>
        <n v="173737.02908735932"/>
        <n v="413513.55195293389"/>
        <n v="1154927.2585108832"/>
        <n v="44654.116394153796"/>
        <n v="296720.319648067"/>
        <n v="148513.0501748721"/>
        <n v="988955.12931949995"/>
        <n v="18585.945081142156"/>
        <n v="1082299.3085686499"/>
        <n v="273571.09956950881"/>
        <n v="521861.48634988675"/>
        <n v="86158.346646298189"/>
        <n v="682223.68052647589"/>
        <n v="42897.993662465829"/>
        <n v="387137.83874750813"/>
        <n v="831575.73971387697"/>
        <n v="588670.74227638228"/>
        <n v="1122946.107428683"/>
        <n v="360159.06817975407"/>
        <n v="174214.10085277597"/>
        <n v="681467.07224504999"/>
        <n v="688522.42908382602"/>
        <n v="1226899.2057820079"/>
        <n v="164456.72104416793"/>
        <n v="280823.32835408754"/>
        <n v="697992.5862661521"/>
        <n v="59773.658956439991"/>
        <n v="638580.22489807219"/>
        <n v="309614.56298053602"/>
        <n v="205715.90803176293"/>
        <n v="411361.90959302429"/>
        <n v="71229.100286381901"/>
        <n v="511285.35050191591"/>
        <n v="445850.39701953868"/>
        <n v="481053.81403292378"/>
        <n v="691358.0820516001"/>
        <n v="288342.97222302889"/>
        <n v="668395.47234690795"/>
        <n v="214305.70741033566"/>
        <n v="328606.89798089582"/>
        <n v="98462.022797601123"/>
        <n v="234733.06695457897"/>
        <n v="1480517.2134493161"/>
        <n v="284626.712237245"/>
        <n v="30600.295354420698"/>
        <n v="835767.87368324283"/>
        <n v="64410.65837066574"/>
        <n v="569390.45137038478"/>
        <n v="251140.23290003301"/>
        <n v="173259.73215152771"/>
        <n v="311037.01568457868"/>
        <n v="784174.11962898588"/>
        <n v="115379.97483548729"/>
        <n v="340788.06506106583"/>
        <n v="38348.046153508709"/>
        <n v="315732.23025326221"/>
        <n v="39316.389080391498"/>
        <n v="845548.08179973788"/>
        <n v="287322.40939647378"/>
        <n v="93554.194579754694"/>
        <n v="179126.73525824375"/>
        <n v="112398.17093368596"/>
        <n v="516535.8218059428"/>
        <n v="614142.31659547624"/>
        <n v="413836.5644392384"/>
        <n v="711009.77304895082"/>
        <n v="75102.870650024503"/>
        <n v="39889.13007565841"/>
        <n v="672780.09806759935"/>
        <n v="87218.450529598398"/>
        <n v="162365.31111998891"/>
        <n v="150147.8342667867"/>
        <n v="556784.73955850629"/>
        <n v="1256710.9482123838"/>
        <n v="205388.45182693249"/>
        <n v="529520.45918466896"/>
        <n v="352212.94445465878"/>
        <n v="433669.71871086454"/>
        <n v="37259.573208289497"/>
        <n v="263690.8197071366"/>
        <n v="199817.7092409925"/>
        <n v="270884.34138009208"/>
        <n v="165686.93702295388"/>
        <n v="151022.67438102525"/>
        <n v="659356.51736737066"/>
        <n v="346875.76458290592"/>
        <n v="431860.42388392286"/>
        <n v="589905.22358804196"/>
        <n v="532843.79526959895"/>
        <n v="250754.85008514777"/>
        <n v="156307.15269487514"/>
        <n v="321007.77421246062"/>
        <n v="82750.509362114302"/>
        <n v="4631.1854020177125"/>
        <n v="113298.37614368781"/>
        <n v="95648.151054064278"/>
        <n v="69481.788407111599"/>
        <n v="118218.65227019507"/>
        <n v="179584.54902149516"/>
        <n v="399012.32909248606"/>
        <n v="128850.94454493112"/>
        <n v="103865.76240569993"/>
        <n v="30254.985181070719"/>
        <n v="243228.25347320293"/>
        <n v="285554.72025204886"/>
        <n v="717432.24403278902"/>
        <n v="142083.82757356548"/>
        <n v="121007.64371473202"/>
        <n v="273267.4490322175"/>
        <n v="156688.8103599383"/>
        <n v="423601.52462257585"/>
        <n v="216315.61952670536"/>
        <n v="418558.08500850387"/>
        <n v="657672.0489897381"/>
        <n v="44514.495429730392"/>
        <n v="66821.116710406161"/>
        <n v="444970.39221631503"/>
        <n v="230614.00866444758"/>
        <n v="232212.97660439479"/>
        <n v="148546.14878854359"/>
        <n v="570136.58919350815"/>
        <n v="232948.71587554086"/>
        <n v="376994.72829429805"/>
        <n v="171121.96562779951"/>
        <n v="63446.451413208386"/>
        <n v="158317.58265052747"/>
        <n v="381560.48819110496"/>
        <n v="464997.946421701"/>
        <n v="134549.73836322315"/>
        <n v="29493.188435578151"/>
        <n v="296135.46633135807"/>
        <n v="705594.01810182701"/>
        <n v="10532.074830007798"/>
        <n v="927275.120038572"/>
        <n v="401563.31568544195"/>
        <n v="134875.44837353181"/>
        <n v="173012.5508884642"/>
        <n v="1634018.6340851458"/>
        <n v="566518.83160910336"/>
        <n v="481202.98380483943"/>
        <n v="252403.66430758149"/>
        <n v="435561.60356771084"/>
        <n v="417212.17325410189"/>
        <n v="164341.59411967604"/>
        <n v="47543.379586136201"/>
        <n v="69419.847366122092"/>
        <n v="558655.7119454426"/>
        <n v="34135.879362345549"/>
        <n v="116614.54212158523"/>
        <n v="192008.98107606196"/>
        <n v="999464.64793570084"/>
        <n v="92204.173544200574"/>
        <n v="863785.27364980988"/>
        <n v="38304.203271556849"/>
        <n v="114430.58071072632"/>
        <n v="463228.109853036"/>
        <n v="373863.61166176503"/>
        <n v="353600.64039683063"/>
        <n v="629591.33143164986"/>
        <n v="69060.268718395324"/>
        <n v="132253.22858879843"/>
        <n v="1021665.4604704198"/>
        <n v="434095.00062459894"/>
        <n v="256375.405987276"/>
        <n v="218892.04509306373"/>
        <n v="196028.60607166978"/>
        <n v="221174.93371536222"/>
        <n v="257735.81381810812"/>
        <n v="72541.75557900389"/>
        <n v="595637.41641436704"/>
        <n v="574151.76731834328"/>
        <n v="527411.03184916894"/>
        <n v="1035663.097139687"/>
        <n v="109302.89974924352"/>
        <n v="318909.18857851601"/>
        <n v="950520.74794029607"/>
        <n v="765693.11521988292"/>
        <n v="202190.91623608745"/>
        <n v="307495.13113811705"/>
        <n v="141382.13262599177"/>
        <n v="1079783.190464027"/>
        <n v="243869.37671054201"/>
        <n v="425064.0115275248"/>
        <n v="21223.688705572611"/>
        <n v="40157.101608846162"/>
        <n v="807282.08460543212"/>
        <n v="521182.11597354512"/>
        <n v="493791.90830938704"/>
        <n v="139171.38212059205"/>
        <n v="106930.32178983453"/>
        <n v="105076.92503286689"/>
        <n v="706574.27959475387"/>
        <n v="21483.651164944022"/>
        <n v="12587.25526588806"/>
        <n v="1283554.868883681"/>
        <n v="328168.22744692198"/>
        <n v="259403.74479992082"/>
        <n v="79908.91878297308"/>
        <n v="232294.4081022492"/>
        <n v="92486.441280070285"/>
        <n v="278297.74657073407"/>
        <n v="516327.96506973868"/>
        <n v="384688.92647606833"/>
        <n v="779285.2550473169"/>
        <n v="759488.5951259518"/>
        <n v="798903.52247792319"/>
        <n v="271127.60068555397"/>
        <n v="814755.6790674068"/>
        <n v="379841.91560140974"/>
        <n v="188227.78389725508"/>
        <n v="133840.80106267706"/>
        <n v="513026.86668100778"/>
        <n v="352547.95124155807"/>
        <n v="227348.70972850954"/>
        <n v="504479.4360167468"/>
        <n v="205961.26262208662"/>
        <n v="107567.53749343287"/>
        <n v="271816.25409698742"/>
        <n v="750384.44852110057"/>
        <n v="912343.35368760489"/>
        <n v="35036.006127203291"/>
        <n v="304395.62930177443"/>
        <n v="801985.36608141102"/>
        <n v="676056.86515430198"/>
        <n v="53055.885608698591"/>
        <n v="80501.995924461866"/>
        <n v="43305.228226804466"/>
        <n v="106897.45516595311"/>
        <n v="308065.83151146013"/>
        <n v="261931.81748342095"/>
        <n v="354901.9854100903"/>
        <n v="103640.40236897615"/>
        <n v="59370.919650657219"/>
        <n v="127056.27478551737"/>
        <n v="541833.35439533996"/>
        <n v="502656.40050887363"/>
        <n v="45261.519888962503"/>
        <n v="212211.37543898041"/>
        <n v="103499.94008323108"/>
        <n v="168073.27603279037"/>
        <n v="361164.08135057322"/>
        <n v="21871.654670589603"/>
        <n v="98360.920197743384"/>
        <n v="38151.764059118927"/>
        <n v="147339.00817547541"/>
        <n v="45021.366578004177"/>
        <n v="13159.179987961266"/>
        <n v="107820.02031032712"/>
        <n v="77048.416261707898"/>
        <n v="969366.8090936318"/>
        <n v="63828.216119962279"/>
        <n v="107923.11287707178"/>
        <n v="161939.45978995436"/>
        <n v="374708.92988113197"/>
        <n v="106996.63370857041"/>
        <n v="282268.33750556153"/>
        <n v="90805.822186999721"/>
        <n v="487422.84955535887"/>
        <n v="178155.5687971462"/>
        <n v="49699.63466018677"/>
        <n v="417771.59038093593"/>
        <n v="78087.919428205001"/>
        <n v="725302.96765572997"/>
        <n v="39087.708614283489"/>
        <n v="136337.72243840201"/>
        <n v="1289728.3108265279"/>
        <n v="47252.779338938184"/>
        <n v="112248.87321304786"/>
        <n v="482839.63171700633"/>
        <n v="973709.72876039473"/>
        <n v="69895.015593508317"/>
        <n v="67017.359820612503"/>
        <n v="248095.04364180705"/>
        <n v="582338.03723230516"/>
        <n v="146867.78822500209"/>
        <n v="151781.60853674822"/>
        <n v="112963.83223621926"/>
        <n v="56367.902547800273"/>
        <n v="946198.67489640275"/>
        <n v="119292.74660800281"/>
        <n v="84469.168095103465"/>
        <n v="73630.99459481379"/>
        <n v="134794.84475226316"/>
        <n v="398389.56570420996"/>
        <n v="313423.87769146659"/>
        <n v="587421.01717407303"/>
        <n v="52891.640657289012"/>
        <n v="474214.58200601395"/>
        <n v="199543.04330945713"/>
        <n v="458164.3663586498"/>
        <n v="172511.27978001896"/>
        <n v="102305.020584137"/>
        <n v="623730.87501060986"/>
        <n v="540459.01832183485"/>
        <n v="1110680.0578078418"/>
        <n v="418879.37042183848"/>
        <n v="51261.518308558792"/>
        <n v="1008291.8034515532"/>
        <n v="327777.91119593801"/>
        <n v="1325313.649455891"/>
        <n v="755890.64858054416"/>
        <n v="34454.417799866613"/>
        <n v="64602.63348679521"/>
        <n v="68463.331452042126"/>
        <n v="541134.26251642476"/>
        <n v="1341393.9829681059"/>
        <n v="257551.88652133278"/>
        <n v="1164016.0896999261"/>
        <n v="501540.85798539198"/>
        <n v="103939.87171204743"/>
        <n v="550623.44739022595"/>
        <n v="448397.02137195703"/>
        <n v="646820.34017877793"/>
        <n v="73607.667023271089"/>
        <n v="16579.581796844897"/>
        <n v="329097.63235092955"/>
        <n v="27653.662547457381"/>
        <n v="520891.05409621401"/>
        <n v="543527.64896175195"/>
        <n v="418039.73054141714"/>
        <n v="876877.36612357292"/>
        <n v="641799.41345917003"/>
        <n v="335641.00705288188"/>
        <n v="1307191.9102704488"/>
        <n v="84915.997862287564"/>
        <n v="59566.764066860836"/>
        <n v="838592.04374015704"/>
        <n v="131888.91943197639"/>
        <n v="483295.71466489963"/>
        <n v="217446.28184777102"/>
        <n v="726223.12786346488"/>
        <n v="46066.104905958782"/>
        <n v="333809.01513428101"/>
        <n v="162606.0997525265"/>
        <n v="187239.03209802997"/>
        <n v="33894.991079877131"/>
        <n v="13228.01511569892"/>
        <n v="827513.07821544562"/>
        <n v="282095.71834115632"/>
        <n v="352271.67482175294"/>
        <n v="70120.337970982189"/>
        <n v="115297.16305818595"/>
        <n v="115995.09108610678"/>
        <n v="93711.645985232899"/>
        <n v="178699.82932185114"/>
        <n v="256129.55872124288"/>
        <n v="93945.702878085605"/>
        <n v="101362.3337383935"/>
        <n v="275990.97409739729"/>
        <n v="1279819.0969265711"/>
        <n v="1629041.4053032859"/>
        <n v="99790.808338667033"/>
        <n v="101003.7735084329"/>
        <n v="967089.77508808766"/>
        <n v="960979.40008824482"/>
        <n v="1293432.0174982361"/>
        <n v="385141.19289056701"/>
        <n v="224890.29814932612"/>
        <n v="456081.83855213737"/>
        <n v="157583.85535379071"/>
        <n v="488399.43801605422"/>
        <n v="106198.31313212763"/>
        <n v="33382.974526381993"/>
        <n v="654451.54807090003"/>
        <n v="778830.6820856519"/>
        <n v="149648.29485846986"/>
        <n v="179299.44854848692"/>
        <n v="98378.746312463132"/>
        <n v="384513.56304109702"/>
        <n v="601525.49750060192"/>
        <n v="357850.24779495597"/>
        <n v="433721.27460291702"/>
        <n v="512404.10012994078"/>
        <n v="365365.2220152989"/>
        <n v="104496.48221691599"/>
        <n v="1084771.363185728"/>
        <n v="298261.95766860538"/>
        <n v="1775882.3648782452"/>
        <n v="619839.12795453565"/>
        <n v="433817.53444456402"/>
        <n v="648013.73094867193"/>
        <n v="362529.57175795408"/>
        <n v="83388.090506005741"/>
        <n v="102208.7046868871"/>
        <n v="111844.51006298268"/>
        <n v="585474.32800792018"/>
        <n v="809224.81987367687"/>
        <n v="650304.20868358412"/>
        <n v="355759.89566911513"/>
        <n v="223990.85181454662"/>
        <n v="114589.71656995942"/>
        <n v="263510.81060703256"/>
        <n v="775342.84900738508"/>
        <n v="305195.90341454139"/>
        <n v="99247.250765053497"/>
        <n v="44989.948240396479"/>
        <n v="116335.49738728825"/>
        <n v="233429.16736627673"/>
        <n v="362797.73847003106"/>
        <n v="30902.531002028263"/>
        <n v="761639.19440476294"/>
        <n v="422267.92694262881"/>
        <n v="621686.36588613503"/>
        <n v="640973.08587868139"/>
        <n v="457371.95255011774"/>
        <n v="215233.69580173935"/>
        <n v="712346.67308521713"/>
        <n v="353636.18536206195"/>
        <n v="543386.82216196088"/>
        <n v="101838.51780744269"/>
        <n v="19091.296273952845"/>
        <n v="102005.16342547507"/>
        <n v="311320.72395729995"/>
        <n v="549378.14654253703"/>
        <n v="87279.848591234098"/>
        <n v="29963.24318857491"/>
        <n v="56125.177143487439"/>
        <n v="195796.51888760558"/>
        <n v="426340.91927893291"/>
        <n v="51425.666700667323"/>
        <n v="286171.94220431847"/>
        <n v="100387.02979286763"/>
        <n v="121678.15296155948"/>
        <n v="120358.08862308296"/>
        <n v="831949.8131103809"/>
        <n v="42267.278028068395"/>
        <n v="51154.247835785733"/>
        <n v="561847.70822037663"/>
        <n v="72320.481531257901"/>
        <n v="292602.43347528169"/>
        <n v="437576.26403383818"/>
        <n v="68239.442264139128"/>
        <n v="233213.8207741722"/>
        <n v="583865.16234659404"/>
        <n v="106121.0497829119"/>
        <n v="73296.705869013589"/>
        <n v="18982.574222668125"/>
        <n v="629956.76787499094"/>
        <n v="144630.0837905067"/>
        <n v="254052.50100176083"/>
        <n v="795789.06771605182"/>
        <n v="435011.6994549369"/>
        <n v="488375.11428556149"/>
        <n v="1482425.4396451809"/>
        <n v="299338.57814061065"/>
        <n v="11284.14715331488"/>
        <n v="272553.58522753359"/>
        <n v="666761.76690304489"/>
        <n v="183924.46642982191"/>
        <n v="149228.05675077124"/>
        <n v="147424.90399798169"/>
        <n v="108776.8813062261"/>
        <n v="1295270.3530919682"/>
        <n v="125390.19496091991"/>
        <n v="90391.089643547195"/>
        <n v="567668.57769593457"/>
        <n v="171857.90250591841"/>
        <n v="470613.09055737592"/>
        <n v="203858.33972628345"/>
        <n v="877275.02781887911"/>
        <n v="565818.11505114404"/>
        <n v="1106441.8322393582"/>
        <n v="180263.72344840277"/>
        <n v="143742.55875158054"/>
        <n v="36656.723042199999"/>
        <n v="390880.86727099493"/>
        <n v="438699.43625537097"/>
        <n v="499707.801133106"/>
        <n v="269983.09507138823"/>
        <n v="276166.02952042036"/>
        <n v="365845.65632865683"/>
        <n v="351814.58141414681"/>
        <n v="163617.87667851557"/>
        <n v="56723.918866480788"/>
        <n v="188456.35106082924"/>
        <n v="250332.17144462996"/>
        <n v="213848.47377534606"/>
        <n v="55301.642294257064"/>
        <n v="217820.75652202638"/>
        <n v="29177.630970371305"/>
        <n v="77852.387823462719"/>
        <n v="882866.973622474"/>
        <n v="636129.09220996196"/>
        <n v="687801.55615332117"/>
        <n v="337598.03847697424"/>
        <n v="192588.36245843302"/>
        <n v="281177.62000609498"/>
        <n v="62231.669825697201"/>
        <n v="846078.89344255999"/>
        <n v="26168.116967611408"/>
        <n v="500212.65083921305"/>
        <n v="1751451.4661205567"/>
        <n v="466877.23807616788"/>
        <n v="412162.25428993418"/>
        <n v="402279.13106928603"/>
        <n v="50725.180562029913"/>
        <n v="1097460.646951962"/>
        <n v="146542.9478600513"/>
        <n v="70760.608779297181"/>
        <n v="424822.6416076161"/>
        <n v="162441.4326800303"/>
        <n v="149717.12424600718"/>
        <n v="675799.90282187401"/>
        <n v="1347130.497655056"/>
        <n v="367020.3954426772"/>
        <n v="41789.895685161304"/>
        <n v="523727.49788583058"/>
        <n v="107624.2128039354"/>
        <n v="1171004.8014373421"/>
        <n v="187947.14452102198"/>
        <n v="358887.88649338298"/>
        <n v="538580.50703726406"/>
        <n v="175931.24681854201"/>
        <n v="250302.38198341092"/>
        <n v="450856.1187587881"/>
        <n v="691036.89935354074"/>
        <n v="354358.805722252"/>
        <n v="196115.71529362281"/>
        <n v="128778.01493720751"/>
        <n v="46731.706177112705"/>
        <n v="49623.385495967275"/>
        <n v="128085.23035943543"/>
        <n v="86214.332713055133"/>
        <n v="425236.71866237372"/>
        <n v="105844.26178348874"/>
        <n v="188392.94820435112"/>
        <n v="484787.52182560484"/>
        <n v="859782.36708994303"/>
        <n v="133140.31071975012"/>
        <n v="168343.05961780599"/>
        <n v="170853.24987270799"/>
        <n v="50123.01767711612"/>
        <n v="408985.33359654993"/>
        <n v="255209.21772520593"/>
        <n v="802586.29127093102"/>
        <n v="122727.7089732677"/>
        <n v="391727.09274964617"/>
        <n v="72430.748937097145"/>
        <n v="231260.13105366763"/>
        <n v="323083.6109937224"/>
        <n v="69515.996889319678"/>
        <n v="215423.61604048708"/>
        <n v="689663.20010890695"/>
        <n v="776001.26434940402"/>
        <n v="219066.45750403893"/>
        <n v="93049.079506933456"/>
        <n v="78170.738688423386"/>
        <n v="457965.57636505808"/>
        <n v="48288.116666703179"/>
        <n v="942528.86601819983"/>
        <n v="61144.138603647472"/>
        <n v="137303.63208349014"/>
        <n v="52558.812852128292"/>
        <n v="196853.32763932936"/>
        <n v="323679.72857411415"/>
        <n v="601467.30480119493"/>
        <n v="89222.698698137538"/>
        <n v="420169.51032487303"/>
        <n v="257649.56871648098"/>
        <n v="355653.0465619961"/>
        <n v="834389.18577520014"/>
        <n v="72124.788555403822"/>
        <n v="120124.30917077808"/>
        <n v="140605.32947136578"/>
        <n v="165065.19377048471"/>
        <n v="75865.442751709023"/>
        <n v="276511.29594831611"/>
        <n v="177898.58806242148"/>
        <n v="122489.65987583681"/>
        <n v="291768.2908671865"/>
        <n v="443190.63125537499"/>
        <n v="314798.480021141"/>
        <n v="420377.0165672825"/>
        <n v="82200.463071138918"/>
        <n v="123275.00307455409"/>
        <n v="149804.95701716153"/>
        <n v="462232.91579192574"/>
        <n v="370336.44240718021"/>
        <n v="132707.94250866064"/>
        <n v="367692.33640178503"/>
        <n v="866050.13073877315"/>
        <n v="273020.13249363366"/>
        <n v="636048.37156630284"/>
        <n v="408838.30558502965"/>
        <n v="1024007.9645299648"/>
        <n v="181652.50476682454"/>
        <n v="228004.91904220509"/>
        <n v="260706.03302129213"/>
        <n v="207341.01148797473"/>
        <n v="243163.70179696864"/>
      </sharedItems>
    </cacheField>
    <cacheField name="Profit margin" numFmtId="0" formula="PROFIT/Net_Revenue" databaseField="0"/>
    <cacheField name="Months (Order_Date)" numFmtId="0" databaseField="0">
      <fieldGroup base="1">
        <rangePr groupBy="months" startDate="2023-01-02T00:00:00" endDate="2024-12-31T00:00:00"/>
        <groupItems count="14">
          <s v="&lt;1/2/2023"/>
          <s v="Jan"/>
          <s v="Feb"/>
          <s v="Mar"/>
          <s v="Apr"/>
          <s v="May"/>
          <s v="Jun"/>
          <s v="Jul"/>
          <s v="Aug"/>
          <s v="Sep"/>
          <s v="Oct"/>
          <s v="Nov"/>
          <s v="Dec"/>
          <s v="&gt;12/31/2024"/>
        </groupItems>
      </fieldGroup>
    </cacheField>
    <cacheField name="Years (Order_Date)" numFmtId="0" databaseField="0">
      <fieldGroup base="1">
        <rangePr groupBy="years" startDate="2023-01-02T00:00:00" endDate="2024-12-31T00:00:00"/>
        <groupItems count="4">
          <s v="&lt;1/2/2023"/>
          <s v="2023"/>
          <s v="2024"/>
          <s v="&gt;12/31/2024"/>
        </groupItems>
      </fieldGroup>
    </cacheField>
    <cacheField name="% Change" numFmtId="0" formula="'Months (Order_Date)'" databaseField="0"/>
  </cacheFields>
  <extLst>
    <ext xmlns:x14="http://schemas.microsoft.com/office/spreadsheetml/2009/9/main" uri="{725AE2AE-9491-48be-B2B4-4EB974FC3084}">
      <x14:pivotCacheDefinition pivotCacheId="1828795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x v="0"/>
    <x v="0"/>
    <x v="0"/>
    <x v="0"/>
    <x v="0"/>
    <x v="0"/>
    <n v="7"/>
    <n v="304466"/>
    <n v="2131262"/>
    <x v="0"/>
    <x v="0"/>
    <x v="0"/>
    <x v="0"/>
  </r>
  <r>
    <x v="1"/>
    <x v="1"/>
    <x v="1"/>
    <x v="0"/>
    <x v="0"/>
    <x v="1"/>
    <x v="1"/>
    <n v="9"/>
    <n v="489503"/>
    <n v="4405527"/>
    <x v="1"/>
    <x v="1"/>
    <x v="1"/>
    <x v="1"/>
  </r>
  <r>
    <x v="2"/>
    <x v="2"/>
    <x v="2"/>
    <x v="0"/>
    <x v="1"/>
    <x v="2"/>
    <x v="1"/>
    <n v="4"/>
    <n v="136724"/>
    <n v="546896"/>
    <x v="2"/>
    <x v="2"/>
    <x v="2"/>
    <x v="2"/>
  </r>
  <r>
    <x v="3"/>
    <x v="3"/>
    <x v="3"/>
    <x v="1"/>
    <x v="2"/>
    <x v="1"/>
    <x v="2"/>
    <n v="3"/>
    <n v="279204"/>
    <n v="837612"/>
    <x v="3"/>
    <x v="3"/>
    <x v="3"/>
    <x v="3"/>
  </r>
  <r>
    <x v="4"/>
    <x v="4"/>
    <x v="3"/>
    <x v="0"/>
    <x v="3"/>
    <x v="1"/>
    <x v="2"/>
    <n v="5"/>
    <n v="146393"/>
    <n v="731965"/>
    <x v="4"/>
    <x v="4"/>
    <x v="4"/>
    <x v="4"/>
  </r>
  <r>
    <x v="5"/>
    <x v="5"/>
    <x v="0"/>
    <x v="1"/>
    <x v="2"/>
    <x v="1"/>
    <x v="2"/>
    <n v="1"/>
    <n v="439458"/>
    <n v="439458"/>
    <x v="5"/>
    <x v="5"/>
    <x v="5"/>
    <x v="5"/>
  </r>
  <r>
    <x v="6"/>
    <x v="6"/>
    <x v="2"/>
    <x v="0"/>
    <x v="1"/>
    <x v="3"/>
    <x v="0"/>
    <n v="3"/>
    <n v="126312"/>
    <n v="378936"/>
    <x v="6"/>
    <x v="6"/>
    <x v="6"/>
    <x v="6"/>
  </r>
  <r>
    <x v="7"/>
    <x v="7"/>
    <x v="0"/>
    <x v="1"/>
    <x v="1"/>
    <x v="0"/>
    <x v="0"/>
    <n v="8"/>
    <n v="387468"/>
    <n v="3099744"/>
    <x v="7"/>
    <x v="7"/>
    <x v="7"/>
    <x v="7"/>
  </r>
  <r>
    <x v="8"/>
    <x v="8"/>
    <x v="4"/>
    <x v="0"/>
    <x v="1"/>
    <x v="4"/>
    <x v="0"/>
    <n v="8"/>
    <n v="121196"/>
    <n v="969568"/>
    <x v="8"/>
    <x v="8"/>
    <x v="8"/>
    <x v="8"/>
  </r>
  <r>
    <x v="9"/>
    <x v="9"/>
    <x v="0"/>
    <x v="0"/>
    <x v="4"/>
    <x v="4"/>
    <x v="2"/>
    <n v="4"/>
    <n v="120014"/>
    <n v="480056"/>
    <x v="9"/>
    <x v="9"/>
    <x v="9"/>
    <x v="9"/>
  </r>
  <r>
    <x v="10"/>
    <x v="10"/>
    <x v="0"/>
    <x v="0"/>
    <x v="2"/>
    <x v="2"/>
    <x v="1"/>
    <n v="2"/>
    <n v="451426"/>
    <n v="902852"/>
    <x v="10"/>
    <x v="10"/>
    <x v="10"/>
    <x v="10"/>
  </r>
  <r>
    <x v="11"/>
    <x v="11"/>
    <x v="3"/>
    <x v="0"/>
    <x v="2"/>
    <x v="1"/>
    <x v="1"/>
    <n v="8"/>
    <n v="191994"/>
    <n v="1535952"/>
    <x v="11"/>
    <x v="11"/>
    <x v="11"/>
    <x v="11"/>
  </r>
  <r>
    <x v="12"/>
    <x v="12"/>
    <x v="3"/>
    <x v="0"/>
    <x v="0"/>
    <x v="2"/>
    <x v="0"/>
    <n v="8"/>
    <n v="479505"/>
    <n v="3836040"/>
    <x v="12"/>
    <x v="12"/>
    <x v="12"/>
    <x v="12"/>
  </r>
  <r>
    <x v="13"/>
    <x v="13"/>
    <x v="3"/>
    <x v="1"/>
    <x v="0"/>
    <x v="3"/>
    <x v="0"/>
    <n v="4"/>
    <n v="83340"/>
    <n v="333360"/>
    <x v="13"/>
    <x v="13"/>
    <x v="13"/>
    <x v="13"/>
  </r>
  <r>
    <x v="14"/>
    <x v="14"/>
    <x v="4"/>
    <x v="0"/>
    <x v="0"/>
    <x v="3"/>
    <x v="1"/>
    <n v="3"/>
    <n v="351994"/>
    <n v="1055982"/>
    <x v="14"/>
    <x v="14"/>
    <x v="14"/>
    <x v="14"/>
  </r>
  <r>
    <x v="15"/>
    <x v="15"/>
    <x v="3"/>
    <x v="0"/>
    <x v="1"/>
    <x v="5"/>
    <x v="1"/>
    <n v="2"/>
    <n v="163711"/>
    <n v="327422"/>
    <x v="15"/>
    <x v="15"/>
    <x v="15"/>
    <x v="15"/>
  </r>
  <r>
    <x v="16"/>
    <x v="16"/>
    <x v="2"/>
    <x v="0"/>
    <x v="2"/>
    <x v="3"/>
    <x v="0"/>
    <n v="9"/>
    <n v="265250"/>
    <n v="2387250"/>
    <x v="16"/>
    <x v="16"/>
    <x v="16"/>
    <x v="16"/>
  </r>
  <r>
    <x v="17"/>
    <x v="17"/>
    <x v="1"/>
    <x v="1"/>
    <x v="1"/>
    <x v="5"/>
    <x v="0"/>
    <n v="1"/>
    <n v="61094"/>
    <n v="61094"/>
    <x v="17"/>
    <x v="17"/>
    <x v="17"/>
    <x v="17"/>
  </r>
  <r>
    <x v="18"/>
    <x v="18"/>
    <x v="2"/>
    <x v="0"/>
    <x v="4"/>
    <x v="0"/>
    <x v="1"/>
    <n v="7"/>
    <n v="400103"/>
    <n v="2800721"/>
    <x v="18"/>
    <x v="18"/>
    <x v="18"/>
    <x v="18"/>
  </r>
  <r>
    <x v="19"/>
    <x v="19"/>
    <x v="2"/>
    <x v="1"/>
    <x v="0"/>
    <x v="2"/>
    <x v="2"/>
    <n v="5"/>
    <n v="476634"/>
    <n v="2383170"/>
    <x v="19"/>
    <x v="19"/>
    <x v="19"/>
    <x v="19"/>
  </r>
  <r>
    <x v="20"/>
    <x v="20"/>
    <x v="3"/>
    <x v="0"/>
    <x v="1"/>
    <x v="0"/>
    <x v="0"/>
    <n v="8"/>
    <n v="317885"/>
    <n v="2543080"/>
    <x v="20"/>
    <x v="20"/>
    <x v="20"/>
    <x v="20"/>
  </r>
  <r>
    <x v="21"/>
    <x v="21"/>
    <x v="1"/>
    <x v="0"/>
    <x v="1"/>
    <x v="3"/>
    <x v="1"/>
    <n v="4"/>
    <n v="161585"/>
    <n v="646340"/>
    <x v="21"/>
    <x v="21"/>
    <x v="21"/>
    <x v="21"/>
  </r>
  <r>
    <x v="22"/>
    <x v="22"/>
    <x v="1"/>
    <x v="1"/>
    <x v="4"/>
    <x v="0"/>
    <x v="1"/>
    <n v="7"/>
    <n v="434708"/>
    <n v="3042956"/>
    <x v="22"/>
    <x v="22"/>
    <x v="22"/>
    <x v="22"/>
  </r>
  <r>
    <x v="23"/>
    <x v="23"/>
    <x v="1"/>
    <x v="0"/>
    <x v="3"/>
    <x v="0"/>
    <x v="1"/>
    <n v="5"/>
    <n v="118798"/>
    <n v="593990"/>
    <x v="23"/>
    <x v="23"/>
    <x v="23"/>
    <x v="23"/>
  </r>
  <r>
    <x v="24"/>
    <x v="24"/>
    <x v="4"/>
    <x v="1"/>
    <x v="2"/>
    <x v="0"/>
    <x v="1"/>
    <n v="5"/>
    <n v="428170"/>
    <n v="2140850"/>
    <x v="24"/>
    <x v="24"/>
    <x v="24"/>
    <x v="24"/>
  </r>
  <r>
    <x v="25"/>
    <x v="25"/>
    <x v="3"/>
    <x v="1"/>
    <x v="3"/>
    <x v="3"/>
    <x v="2"/>
    <n v="9"/>
    <n v="251604"/>
    <n v="2264436"/>
    <x v="25"/>
    <x v="25"/>
    <x v="25"/>
    <x v="25"/>
  </r>
  <r>
    <x v="26"/>
    <x v="26"/>
    <x v="1"/>
    <x v="0"/>
    <x v="0"/>
    <x v="1"/>
    <x v="1"/>
    <n v="9"/>
    <n v="160130"/>
    <n v="1441170"/>
    <x v="26"/>
    <x v="26"/>
    <x v="26"/>
    <x v="26"/>
  </r>
  <r>
    <x v="27"/>
    <x v="27"/>
    <x v="4"/>
    <x v="1"/>
    <x v="1"/>
    <x v="0"/>
    <x v="0"/>
    <n v="9"/>
    <n v="334308"/>
    <n v="3008772"/>
    <x v="27"/>
    <x v="27"/>
    <x v="27"/>
    <x v="27"/>
  </r>
  <r>
    <x v="28"/>
    <x v="28"/>
    <x v="0"/>
    <x v="0"/>
    <x v="4"/>
    <x v="5"/>
    <x v="2"/>
    <n v="6"/>
    <n v="216667"/>
    <n v="1300002"/>
    <x v="28"/>
    <x v="28"/>
    <x v="28"/>
    <x v="28"/>
  </r>
  <r>
    <x v="29"/>
    <x v="29"/>
    <x v="0"/>
    <x v="0"/>
    <x v="4"/>
    <x v="3"/>
    <x v="1"/>
    <n v="6"/>
    <n v="80257"/>
    <n v="481542"/>
    <x v="29"/>
    <x v="29"/>
    <x v="29"/>
    <x v="29"/>
  </r>
  <r>
    <x v="30"/>
    <x v="30"/>
    <x v="4"/>
    <x v="1"/>
    <x v="2"/>
    <x v="0"/>
    <x v="2"/>
    <n v="5"/>
    <n v="457427"/>
    <n v="2287135"/>
    <x v="30"/>
    <x v="30"/>
    <x v="30"/>
    <x v="30"/>
  </r>
  <r>
    <x v="31"/>
    <x v="31"/>
    <x v="4"/>
    <x v="1"/>
    <x v="3"/>
    <x v="1"/>
    <x v="0"/>
    <n v="9"/>
    <n v="408133"/>
    <n v="3673197"/>
    <x v="31"/>
    <x v="31"/>
    <x v="31"/>
    <x v="31"/>
  </r>
  <r>
    <x v="32"/>
    <x v="32"/>
    <x v="3"/>
    <x v="1"/>
    <x v="2"/>
    <x v="3"/>
    <x v="1"/>
    <n v="8"/>
    <n v="448448"/>
    <n v="3587584"/>
    <x v="32"/>
    <x v="32"/>
    <x v="32"/>
    <x v="32"/>
  </r>
  <r>
    <x v="33"/>
    <x v="33"/>
    <x v="3"/>
    <x v="1"/>
    <x v="1"/>
    <x v="4"/>
    <x v="0"/>
    <n v="7"/>
    <n v="102691"/>
    <n v="718837"/>
    <x v="33"/>
    <x v="33"/>
    <x v="33"/>
    <x v="33"/>
  </r>
  <r>
    <x v="34"/>
    <x v="34"/>
    <x v="0"/>
    <x v="0"/>
    <x v="2"/>
    <x v="1"/>
    <x v="1"/>
    <n v="7"/>
    <n v="129768"/>
    <n v="908376"/>
    <x v="34"/>
    <x v="34"/>
    <x v="34"/>
    <x v="34"/>
  </r>
  <r>
    <x v="35"/>
    <x v="35"/>
    <x v="1"/>
    <x v="0"/>
    <x v="4"/>
    <x v="5"/>
    <x v="1"/>
    <n v="6"/>
    <n v="468829"/>
    <n v="2812974"/>
    <x v="35"/>
    <x v="35"/>
    <x v="35"/>
    <x v="35"/>
  </r>
  <r>
    <x v="36"/>
    <x v="36"/>
    <x v="0"/>
    <x v="1"/>
    <x v="4"/>
    <x v="0"/>
    <x v="1"/>
    <n v="5"/>
    <n v="64026"/>
    <n v="320130"/>
    <x v="36"/>
    <x v="36"/>
    <x v="36"/>
    <x v="36"/>
  </r>
  <r>
    <x v="37"/>
    <x v="37"/>
    <x v="1"/>
    <x v="0"/>
    <x v="0"/>
    <x v="4"/>
    <x v="1"/>
    <n v="4"/>
    <n v="496751"/>
    <n v="1987004"/>
    <x v="37"/>
    <x v="37"/>
    <x v="37"/>
    <x v="37"/>
  </r>
  <r>
    <x v="38"/>
    <x v="38"/>
    <x v="1"/>
    <x v="0"/>
    <x v="0"/>
    <x v="4"/>
    <x v="1"/>
    <n v="3"/>
    <n v="275162"/>
    <n v="825486"/>
    <x v="38"/>
    <x v="38"/>
    <x v="38"/>
    <x v="38"/>
  </r>
  <r>
    <x v="39"/>
    <x v="39"/>
    <x v="3"/>
    <x v="0"/>
    <x v="1"/>
    <x v="3"/>
    <x v="2"/>
    <n v="3"/>
    <n v="343052"/>
    <n v="1029156"/>
    <x v="39"/>
    <x v="39"/>
    <x v="39"/>
    <x v="39"/>
  </r>
  <r>
    <x v="40"/>
    <x v="40"/>
    <x v="2"/>
    <x v="0"/>
    <x v="3"/>
    <x v="4"/>
    <x v="1"/>
    <n v="6"/>
    <n v="495329"/>
    <n v="2971974"/>
    <x v="40"/>
    <x v="40"/>
    <x v="40"/>
    <x v="40"/>
  </r>
  <r>
    <x v="41"/>
    <x v="41"/>
    <x v="2"/>
    <x v="1"/>
    <x v="2"/>
    <x v="5"/>
    <x v="1"/>
    <n v="4"/>
    <n v="69610"/>
    <n v="278440"/>
    <x v="41"/>
    <x v="41"/>
    <x v="41"/>
    <x v="41"/>
  </r>
  <r>
    <x v="42"/>
    <x v="42"/>
    <x v="4"/>
    <x v="1"/>
    <x v="1"/>
    <x v="5"/>
    <x v="2"/>
    <n v="6"/>
    <n v="227718"/>
    <n v="1366308"/>
    <x v="42"/>
    <x v="42"/>
    <x v="42"/>
    <x v="42"/>
  </r>
  <r>
    <x v="43"/>
    <x v="43"/>
    <x v="3"/>
    <x v="0"/>
    <x v="0"/>
    <x v="2"/>
    <x v="2"/>
    <n v="3"/>
    <n v="375329"/>
    <n v="1125987"/>
    <x v="43"/>
    <x v="43"/>
    <x v="43"/>
    <x v="43"/>
  </r>
  <r>
    <x v="44"/>
    <x v="17"/>
    <x v="1"/>
    <x v="1"/>
    <x v="2"/>
    <x v="5"/>
    <x v="2"/>
    <n v="4"/>
    <n v="384711"/>
    <n v="1538844"/>
    <x v="44"/>
    <x v="44"/>
    <x v="44"/>
    <x v="44"/>
  </r>
  <r>
    <x v="45"/>
    <x v="44"/>
    <x v="2"/>
    <x v="1"/>
    <x v="0"/>
    <x v="1"/>
    <x v="2"/>
    <n v="9"/>
    <n v="228646"/>
    <n v="2057814"/>
    <x v="45"/>
    <x v="45"/>
    <x v="45"/>
    <x v="45"/>
  </r>
  <r>
    <x v="46"/>
    <x v="45"/>
    <x v="1"/>
    <x v="1"/>
    <x v="2"/>
    <x v="4"/>
    <x v="2"/>
    <n v="5"/>
    <n v="272123"/>
    <n v="1360615"/>
    <x v="46"/>
    <x v="46"/>
    <x v="46"/>
    <x v="46"/>
  </r>
  <r>
    <x v="47"/>
    <x v="6"/>
    <x v="2"/>
    <x v="0"/>
    <x v="3"/>
    <x v="5"/>
    <x v="2"/>
    <n v="7"/>
    <n v="348326"/>
    <n v="2438282"/>
    <x v="47"/>
    <x v="47"/>
    <x v="47"/>
    <x v="47"/>
  </r>
  <r>
    <x v="48"/>
    <x v="46"/>
    <x v="2"/>
    <x v="0"/>
    <x v="1"/>
    <x v="3"/>
    <x v="1"/>
    <n v="2"/>
    <n v="428280"/>
    <n v="856560"/>
    <x v="48"/>
    <x v="48"/>
    <x v="48"/>
    <x v="48"/>
  </r>
  <r>
    <x v="49"/>
    <x v="47"/>
    <x v="2"/>
    <x v="0"/>
    <x v="2"/>
    <x v="2"/>
    <x v="1"/>
    <n v="5"/>
    <n v="443786"/>
    <n v="2218930"/>
    <x v="49"/>
    <x v="49"/>
    <x v="49"/>
    <x v="49"/>
  </r>
  <r>
    <x v="50"/>
    <x v="48"/>
    <x v="3"/>
    <x v="1"/>
    <x v="4"/>
    <x v="4"/>
    <x v="0"/>
    <n v="9"/>
    <n v="69288"/>
    <n v="623592"/>
    <x v="50"/>
    <x v="50"/>
    <x v="50"/>
    <x v="50"/>
  </r>
  <r>
    <x v="51"/>
    <x v="49"/>
    <x v="0"/>
    <x v="0"/>
    <x v="4"/>
    <x v="2"/>
    <x v="1"/>
    <n v="3"/>
    <n v="390968"/>
    <n v="1172904"/>
    <x v="51"/>
    <x v="51"/>
    <x v="51"/>
    <x v="51"/>
  </r>
  <r>
    <x v="52"/>
    <x v="50"/>
    <x v="1"/>
    <x v="0"/>
    <x v="2"/>
    <x v="4"/>
    <x v="1"/>
    <n v="9"/>
    <n v="473093"/>
    <n v="4257837"/>
    <x v="52"/>
    <x v="52"/>
    <x v="52"/>
    <x v="52"/>
  </r>
  <r>
    <x v="53"/>
    <x v="51"/>
    <x v="3"/>
    <x v="1"/>
    <x v="2"/>
    <x v="3"/>
    <x v="2"/>
    <n v="6"/>
    <n v="134425"/>
    <n v="806550"/>
    <x v="53"/>
    <x v="53"/>
    <x v="53"/>
    <x v="53"/>
  </r>
  <r>
    <x v="54"/>
    <x v="52"/>
    <x v="3"/>
    <x v="0"/>
    <x v="2"/>
    <x v="2"/>
    <x v="2"/>
    <n v="4"/>
    <n v="50917"/>
    <n v="203668"/>
    <x v="54"/>
    <x v="54"/>
    <x v="54"/>
    <x v="54"/>
  </r>
  <r>
    <x v="55"/>
    <x v="53"/>
    <x v="3"/>
    <x v="0"/>
    <x v="4"/>
    <x v="0"/>
    <x v="1"/>
    <n v="7"/>
    <n v="387746"/>
    <n v="2714222"/>
    <x v="55"/>
    <x v="55"/>
    <x v="55"/>
    <x v="55"/>
  </r>
  <r>
    <x v="56"/>
    <x v="54"/>
    <x v="3"/>
    <x v="1"/>
    <x v="4"/>
    <x v="1"/>
    <x v="0"/>
    <n v="8"/>
    <n v="376719"/>
    <n v="3013752"/>
    <x v="56"/>
    <x v="56"/>
    <x v="56"/>
    <x v="56"/>
  </r>
  <r>
    <x v="57"/>
    <x v="55"/>
    <x v="3"/>
    <x v="1"/>
    <x v="2"/>
    <x v="1"/>
    <x v="2"/>
    <n v="6"/>
    <n v="384662"/>
    <n v="2307972"/>
    <x v="57"/>
    <x v="57"/>
    <x v="57"/>
    <x v="57"/>
  </r>
  <r>
    <x v="58"/>
    <x v="56"/>
    <x v="4"/>
    <x v="1"/>
    <x v="0"/>
    <x v="4"/>
    <x v="1"/>
    <n v="5"/>
    <n v="303187"/>
    <n v="1515935"/>
    <x v="58"/>
    <x v="58"/>
    <x v="58"/>
    <x v="58"/>
  </r>
  <r>
    <x v="59"/>
    <x v="57"/>
    <x v="1"/>
    <x v="0"/>
    <x v="0"/>
    <x v="0"/>
    <x v="1"/>
    <n v="6"/>
    <n v="89104"/>
    <n v="534624"/>
    <x v="59"/>
    <x v="59"/>
    <x v="59"/>
    <x v="59"/>
  </r>
  <r>
    <x v="60"/>
    <x v="58"/>
    <x v="3"/>
    <x v="0"/>
    <x v="3"/>
    <x v="2"/>
    <x v="0"/>
    <n v="5"/>
    <n v="199134"/>
    <n v="995670"/>
    <x v="60"/>
    <x v="60"/>
    <x v="60"/>
    <x v="60"/>
  </r>
  <r>
    <x v="61"/>
    <x v="59"/>
    <x v="1"/>
    <x v="0"/>
    <x v="1"/>
    <x v="0"/>
    <x v="0"/>
    <n v="8"/>
    <n v="329143"/>
    <n v="2633144"/>
    <x v="61"/>
    <x v="61"/>
    <x v="61"/>
    <x v="61"/>
  </r>
  <r>
    <x v="62"/>
    <x v="60"/>
    <x v="4"/>
    <x v="1"/>
    <x v="0"/>
    <x v="0"/>
    <x v="2"/>
    <n v="1"/>
    <n v="312091"/>
    <n v="312091"/>
    <x v="62"/>
    <x v="62"/>
    <x v="62"/>
    <x v="62"/>
  </r>
  <r>
    <x v="63"/>
    <x v="61"/>
    <x v="4"/>
    <x v="1"/>
    <x v="4"/>
    <x v="2"/>
    <x v="0"/>
    <n v="7"/>
    <n v="453157"/>
    <n v="3172099"/>
    <x v="63"/>
    <x v="63"/>
    <x v="63"/>
    <x v="63"/>
  </r>
  <r>
    <x v="64"/>
    <x v="62"/>
    <x v="1"/>
    <x v="0"/>
    <x v="0"/>
    <x v="3"/>
    <x v="1"/>
    <n v="2"/>
    <n v="111169"/>
    <n v="222338"/>
    <x v="64"/>
    <x v="64"/>
    <x v="64"/>
    <x v="64"/>
  </r>
  <r>
    <x v="65"/>
    <x v="63"/>
    <x v="2"/>
    <x v="0"/>
    <x v="3"/>
    <x v="0"/>
    <x v="1"/>
    <n v="9"/>
    <n v="204542"/>
    <n v="1840878"/>
    <x v="65"/>
    <x v="65"/>
    <x v="65"/>
    <x v="65"/>
  </r>
  <r>
    <x v="66"/>
    <x v="64"/>
    <x v="0"/>
    <x v="1"/>
    <x v="3"/>
    <x v="0"/>
    <x v="0"/>
    <n v="1"/>
    <n v="179744"/>
    <n v="179744"/>
    <x v="66"/>
    <x v="66"/>
    <x v="66"/>
    <x v="66"/>
  </r>
  <r>
    <x v="67"/>
    <x v="48"/>
    <x v="2"/>
    <x v="1"/>
    <x v="1"/>
    <x v="3"/>
    <x v="0"/>
    <n v="6"/>
    <n v="422828"/>
    <n v="2536968"/>
    <x v="67"/>
    <x v="67"/>
    <x v="67"/>
    <x v="67"/>
  </r>
  <r>
    <x v="68"/>
    <x v="65"/>
    <x v="2"/>
    <x v="1"/>
    <x v="0"/>
    <x v="0"/>
    <x v="0"/>
    <n v="9"/>
    <n v="109821"/>
    <n v="988389"/>
    <x v="68"/>
    <x v="68"/>
    <x v="68"/>
    <x v="68"/>
  </r>
  <r>
    <x v="69"/>
    <x v="66"/>
    <x v="2"/>
    <x v="1"/>
    <x v="4"/>
    <x v="0"/>
    <x v="0"/>
    <n v="1"/>
    <n v="267741"/>
    <n v="267741"/>
    <x v="69"/>
    <x v="69"/>
    <x v="69"/>
    <x v="69"/>
  </r>
  <r>
    <x v="70"/>
    <x v="67"/>
    <x v="3"/>
    <x v="0"/>
    <x v="4"/>
    <x v="0"/>
    <x v="2"/>
    <n v="4"/>
    <n v="299265"/>
    <n v="1197060"/>
    <x v="70"/>
    <x v="70"/>
    <x v="70"/>
    <x v="70"/>
  </r>
  <r>
    <x v="71"/>
    <x v="68"/>
    <x v="4"/>
    <x v="1"/>
    <x v="2"/>
    <x v="1"/>
    <x v="0"/>
    <n v="4"/>
    <n v="487651"/>
    <n v="1950604"/>
    <x v="71"/>
    <x v="71"/>
    <x v="71"/>
    <x v="71"/>
  </r>
  <r>
    <x v="72"/>
    <x v="69"/>
    <x v="2"/>
    <x v="0"/>
    <x v="4"/>
    <x v="5"/>
    <x v="2"/>
    <n v="9"/>
    <n v="447745"/>
    <n v="4029705"/>
    <x v="72"/>
    <x v="72"/>
    <x v="72"/>
    <x v="72"/>
  </r>
  <r>
    <x v="73"/>
    <x v="70"/>
    <x v="4"/>
    <x v="0"/>
    <x v="1"/>
    <x v="3"/>
    <x v="1"/>
    <n v="5"/>
    <n v="264127"/>
    <n v="1320635"/>
    <x v="73"/>
    <x v="73"/>
    <x v="73"/>
    <x v="73"/>
  </r>
  <r>
    <x v="74"/>
    <x v="71"/>
    <x v="1"/>
    <x v="0"/>
    <x v="1"/>
    <x v="0"/>
    <x v="0"/>
    <n v="5"/>
    <n v="324336"/>
    <n v="1621680"/>
    <x v="74"/>
    <x v="74"/>
    <x v="74"/>
    <x v="74"/>
  </r>
  <r>
    <x v="75"/>
    <x v="72"/>
    <x v="0"/>
    <x v="1"/>
    <x v="4"/>
    <x v="1"/>
    <x v="2"/>
    <n v="6"/>
    <n v="386246"/>
    <n v="2317476"/>
    <x v="75"/>
    <x v="75"/>
    <x v="75"/>
    <x v="75"/>
  </r>
  <r>
    <x v="76"/>
    <x v="73"/>
    <x v="1"/>
    <x v="1"/>
    <x v="4"/>
    <x v="3"/>
    <x v="0"/>
    <n v="1"/>
    <n v="253834"/>
    <n v="253834"/>
    <x v="76"/>
    <x v="76"/>
    <x v="76"/>
    <x v="76"/>
  </r>
  <r>
    <x v="77"/>
    <x v="74"/>
    <x v="1"/>
    <x v="1"/>
    <x v="2"/>
    <x v="4"/>
    <x v="1"/>
    <n v="1"/>
    <n v="284538"/>
    <n v="284538"/>
    <x v="77"/>
    <x v="77"/>
    <x v="77"/>
    <x v="77"/>
  </r>
  <r>
    <x v="78"/>
    <x v="75"/>
    <x v="3"/>
    <x v="1"/>
    <x v="4"/>
    <x v="4"/>
    <x v="1"/>
    <n v="9"/>
    <n v="427038"/>
    <n v="3843342"/>
    <x v="78"/>
    <x v="78"/>
    <x v="78"/>
    <x v="78"/>
  </r>
  <r>
    <x v="79"/>
    <x v="76"/>
    <x v="0"/>
    <x v="0"/>
    <x v="2"/>
    <x v="0"/>
    <x v="1"/>
    <n v="3"/>
    <n v="136795"/>
    <n v="410385"/>
    <x v="79"/>
    <x v="79"/>
    <x v="79"/>
    <x v="79"/>
  </r>
  <r>
    <x v="80"/>
    <x v="2"/>
    <x v="1"/>
    <x v="1"/>
    <x v="2"/>
    <x v="1"/>
    <x v="0"/>
    <n v="4"/>
    <n v="215159"/>
    <n v="860636"/>
    <x v="80"/>
    <x v="80"/>
    <x v="80"/>
    <x v="80"/>
  </r>
  <r>
    <x v="81"/>
    <x v="77"/>
    <x v="1"/>
    <x v="1"/>
    <x v="4"/>
    <x v="1"/>
    <x v="0"/>
    <n v="1"/>
    <n v="378821"/>
    <n v="378821"/>
    <x v="81"/>
    <x v="81"/>
    <x v="81"/>
    <x v="81"/>
  </r>
  <r>
    <x v="82"/>
    <x v="78"/>
    <x v="0"/>
    <x v="0"/>
    <x v="3"/>
    <x v="3"/>
    <x v="2"/>
    <n v="9"/>
    <n v="185699"/>
    <n v="1671291"/>
    <x v="82"/>
    <x v="82"/>
    <x v="82"/>
    <x v="82"/>
  </r>
  <r>
    <x v="83"/>
    <x v="79"/>
    <x v="0"/>
    <x v="1"/>
    <x v="3"/>
    <x v="3"/>
    <x v="1"/>
    <n v="8"/>
    <n v="499757"/>
    <n v="3998056"/>
    <x v="83"/>
    <x v="83"/>
    <x v="83"/>
    <x v="83"/>
  </r>
  <r>
    <x v="84"/>
    <x v="80"/>
    <x v="1"/>
    <x v="0"/>
    <x v="2"/>
    <x v="1"/>
    <x v="0"/>
    <n v="2"/>
    <n v="293877"/>
    <n v="587754"/>
    <x v="84"/>
    <x v="84"/>
    <x v="84"/>
    <x v="84"/>
  </r>
  <r>
    <x v="85"/>
    <x v="81"/>
    <x v="0"/>
    <x v="0"/>
    <x v="4"/>
    <x v="3"/>
    <x v="1"/>
    <n v="8"/>
    <n v="249298"/>
    <n v="1994384"/>
    <x v="85"/>
    <x v="85"/>
    <x v="85"/>
    <x v="85"/>
  </r>
  <r>
    <x v="86"/>
    <x v="82"/>
    <x v="1"/>
    <x v="0"/>
    <x v="3"/>
    <x v="1"/>
    <x v="1"/>
    <n v="7"/>
    <n v="446471"/>
    <n v="3125297"/>
    <x v="86"/>
    <x v="86"/>
    <x v="86"/>
    <x v="86"/>
  </r>
  <r>
    <x v="87"/>
    <x v="83"/>
    <x v="1"/>
    <x v="0"/>
    <x v="4"/>
    <x v="5"/>
    <x v="2"/>
    <n v="6"/>
    <n v="238505"/>
    <n v="1431030"/>
    <x v="87"/>
    <x v="87"/>
    <x v="87"/>
    <x v="87"/>
  </r>
  <r>
    <x v="88"/>
    <x v="84"/>
    <x v="3"/>
    <x v="0"/>
    <x v="4"/>
    <x v="1"/>
    <x v="2"/>
    <n v="1"/>
    <n v="186285"/>
    <n v="186285"/>
    <x v="88"/>
    <x v="88"/>
    <x v="88"/>
    <x v="88"/>
  </r>
  <r>
    <x v="89"/>
    <x v="85"/>
    <x v="2"/>
    <x v="0"/>
    <x v="4"/>
    <x v="4"/>
    <x v="2"/>
    <n v="7"/>
    <n v="152412"/>
    <n v="1066884"/>
    <x v="89"/>
    <x v="89"/>
    <x v="89"/>
    <x v="89"/>
  </r>
  <r>
    <x v="90"/>
    <x v="86"/>
    <x v="1"/>
    <x v="0"/>
    <x v="0"/>
    <x v="3"/>
    <x v="2"/>
    <n v="7"/>
    <n v="69404"/>
    <n v="485828"/>
    <x v="90"/>
    <x v="90"/>
    <x v="90"/>
    <x v="90"/>
  </r>
  <r>
    <x v="91"/>
    <x v="87"/>
    <x v="4"/>
    <x v="0"/>
    <x v="4"/>
    <x v="1"/>
    <x v="1"/>
    <n v="9"/>
    <n v="166545"/>
    <n v="1498905"/>
    <x v="91"/>
    <x v="91"/>
    <x v="91"/>
    <x v="91"/>
  </r>
  <r>
    <x v="92"/>
    <x v="88"/>
    <x v="2"/>
    <x v="1"/>
    <x v="0"/>
    <x v="1"/>
    <x v="2"/>
    <n v="1"/>
    <n v="468596"/>
    <n v="468596"/>
    <x v="92"/>
    <x v="92"/>
    <x v="92"/>
    <x v="92"/>
  </r>
  <r>
    <x v="93"/>
    <x v="89"/>
    <x v="2"/>
    <x v="1"/>
    <x v="2"/>
    <x v="3"/>
    <x v="2"/>
    <n v="2"/>
    <n v="272128"/>
    <n v="544256"/>
    <x v="93"/>
    <x v="93"/>
    <x v="93"/>
    <x v="93"/>
  </r>
  <r>
    <x v="94"/>
    <x v="90"/>
    <x v="2"/>
    <x v="1"/>
    <x v="3"/>
    <x v="5"/>
    <x v="2"/>
    <n v="9"/>
    <n v="200245"/>
    <n v="1802205"/>
    <x v="94"/>
    <x v="94"/>
    <x v="94"/>
    <x v="94"/>
  </r>
  <r>
    <x v="95"/>
    <x v="91"/>
    <x v="3"/>
    <x v="1"/>
    <x v="3"/>
    <x v="5"/>
    <x v="2"/>
    <n v="9"/>
    <n v="234099"/>
    <n v="2106891"/>
    <x v="95"/>
    <x v="95"/>
    <x v="95"/>
    <x v="95"/>
  </r>
  <r>
    <x v="96"/>
    <x v="92"/>
    <x v="1"/>
    <x v="0"/>
    <x v="3"/>
    <x v="3"/>
    <x v="1"/>
    <n v="6"/>
    <n v="336133"/>
    <n v="2016798"/>
    <x v="96"/>
    <x v="96"/>
    <x v="96"/>
    <x v="96"/>
  </r>
  <r>
    <x v="97"/>
    <x v="93"/>
    <x v="3"/>
    <x v="1"/>
    <x v="3"/>
    <x v="2"/>
    <x v="2"/>
    <n v="6"/>
    <n v="311657"/>
    <n v="1869942"/>
    <x v="97"/>
    <x v="97"/>
    <x v="97"/>
    <x v="97"/>
  </r>
  <r>
    <x v="98"/>
    <x v="94"/>
    <x v="1"/>
    <x v="0"/>
    <x v="3"/>
    <x v="3"/>
    <x v="1"/>
    <n v="4"/>
    <n v="420250"/>
    <n v="1681000"/>
    <x v="98"/>
    <x v="98"/>
    <x v="98"/>
    <x v="98"/>
  </r>
  <r>
    <x v="99"/>
    <x v="95"/>
    <x v="3"/>
    <x v="1"/>
    <x v="3"/>
    <x v="3"/>
    <x v="0"/>
    <n v="4"/>
    <n v="336663"/>
    <n v="1346652"/>
    <x v="99"/>
    <x v="99"/>
    <x v="99"/>
    <x v="99"/>
  </r>
  <r>
    <x v="100"/>
    <x v="20"/>
    <x v="3"/>
    <x v="1"/>
    <x v="3"/>
    <x v="5"/>
    <x v="1"/>
    <n v="5"/>
    <n v="306875"/>
    <n v="1534375"/>
    <x v="100"/>
    <x v="100"/>
    <x v="100"/>
    <x v="100"/>
  </r>
  <r>
    <x v="101"/>
    <x v="96"/>
    <x v="4"/>
    <x v="1"/>
    <x v="2"/>
    <x v="5"/>
    <x v="1"/>
    <n v="3"/>
    <n v="334583"/>
    <n v="1003749"/>
    <x v="101"/>
    <x v="101"/>
    <x v="101"/>
    <x v="101"/>
  </r>
  <r>
    <x v="102"/>
    <x v="97"/>
    <x v="3"/>
    <x v="0"/>
    <x v="4"/>
    <x v="3"/>
    <x v="2"/>
    <n v="1"/>
    <n v="430714"/>
    <n v="430714"/>
    <x v="102"/>
    <x v="102"/>
    <x v="102"/>
    <x v="102"/>
  </r>
  <r>
    <x v="103"/>
    <x v="98"/>
    <x v="0"/>
    <x v="1"/>
    <x v="1"/>
    <x v="3"/>
    <x v="0"/>
    <n v="1"/>
    <n v="64995"/>
    <n v="64995"/>
    <x v="103"/>
    <x v="103"/>
    <x v="103"/>
    <x v="103"/>
  </r>
  <r>
    <x v="104"/>
    <x v="99"/>
    <x v="4"/>
    <x v="0"/>
    <x v="0"/>
    <x v="3"/>
    <x v="0"/>
    <n v="7"/>
    <n v="73559"/>
    <n v="514913"/>
    <x v="104"/>
    <x v="104"/>
    <x v="104"/>
    <x v="104"/>
  </r>
  <r>
    <x v="105"/>
    <x v="100"/>
    <x v="3"/>
    <x v="0"/>
    <x v="1"/>
    <x v="5"/>
    <x v="0"/>
    <n v="1"/>
    <n v="401193"/>
    <n v="401193"/>
    <x v="105"/>
    <x v="105"/>
    <x v="105"/>
    <x v="105"/>
  </r>
  <r>
    <x v="106"/>
    <x v="101"/>
    <x v="2"/>
    <x v="1"/>
    <x v="1"/>
    <x v="3"/>
    <x v="0"/>
    <n v="1"/>
    <n v="448237"/>
    <n v="448237"/>
    <x v="106"/>
    <x v="106"/>
    <x v="106"/>
    <x v="106"/>
  </r>
  <r>
    <x v="107"/>
    <x v="102"/>
    <x v="0"/>
    <x v="1"/>
    <x v="4"/>
    <x v="3"/>
    <x v="1"/>
    <n v="3"/>
    <n v="148000"/>
    <n v="444000"/>
    <x v="107"/>
    <x v="107"/>
    <x v="107"/>
    <x v="107"/>
  </r>
  <r>
    <x v="108"/>
    <x v="103"/>
    <x v="0"/>
    <x v="1"/>
    <x v="4"/>
    <x v="0"/>
    <x v="0"/>
    <n v="4"/>
    <n v="202191"/>
    <n v="808764"/>
    <x v="108"/>
    <x v="108"/>
    <x v="108"/>
    <x v="108"/>
  </r>
  <r>
    <x v="109"/>
    <x v="104"/>
    <x v="0"/>
    <x v="0"/>
    <x v="4"/>
    <x v="2"/>
    <x v="1"/>
    <n v="4"/>
    <n v="494755"/>
    <n v="1979020"/>
    <x v="109"/>
    <x v="109"/>
    <x v="109"/>
    <x v="109"/>
  </r>
  <r>
    <x v="110"/>
    <x v="105"/>
    <x v="4"/>
    <x v="1"/>
    <x v="3"/>
    <x v="4"/>
    <x v="1"/>
    <n v="2"/>
    <n v="351494"/>
    <n v="702988"/>
    <x v="110"/>
    <x v="110"/>
    <x v="110"/>
    <x v="110"/>
  </r>
  <r>
    <x v="111"/>
    <x v="106"/>
    <x v="3"/>
    <x v="0"/>
    <x v="2"/>
    <x v="2"/>
    <x v="1"/>
    <n v="1"/>
    <n v="489439"/>
    <n v="489439"/>
    <x v="111"/>
    <x v="111"/>
    <x v="111"/>
    <x v="111"/>
  </r>
  <r>
    <x v="112"/>
    <x v="107"/>
    <x v="3"/>
    <x v="0"/>
    <x v="3"/>
    <x v="0"/>
    <x v="0"/>
    <n v="3"/>
    <n v="75517"/>
    <n v="226551"/>
    <x v="112"/>
    <x v="112"/>
    <x v="112"/>
    <x v="112"/>
  </r>
  <r>
    <x v="113"/>
    <x v="108"/>
    <x v="2"/>
    <x v="1"/>
    <x v="2"/>
    <x v="4"/>
    <x v="2"/>
    <n v="4"/>
    <n v="465466"/>
    <n v="1861864"/>
    <x v="113"/>
    <x v="113"/>
    <x v="113"/>
    <x v="113"/>
  </r>
  <r>
    <x v="114"/>
    <x v="109"/>
    <x v="2"/>
    <x v="1"/>
    <x v="2"/>
    <x v="3"/>
    <x v="2"/>
    <n v="3"/>
    <n v="265558"/>
    <n v="796674"/>
    <x v="114"/>
    <x v="114"/>
    <x v="114"/>
    <x v="114"/>
  </r>
  <r>
    <x v="115"/>
    <x v="91"/>
    <x v="0"/>
    <x v="0"/>
    <x v="1"/>
    <x v="0"/>
    <x v="0"/>
    <n v="8"/>
    <n v="401276"/>
    <n v="3210208"/>
    <x v="115"/>
    <x v="115"/>
    <x v="115"/>
    <x v="115"/>
  </r>
  <r>
    <x v="116"/>
    <x v="110"/>
    <x v="2"/>
    <x v="0"/>
    <x v="1"/>
    <x v="3"/>
    <x v="2"/>
    <n v="1"/>
    <n v="497415"/>
    <n v="497415"/>
    <x v="116"/>
    <x v="116"/>
    <x v="116"/>
    <x v="116"/>
  </r>
  <r>
    <x v="117"/>
    <x v="111"/>
    <x v="4"/>
    <x v="0"/>
    <x v="2"/>
    <x v="5"/>
    <x v="2"/>
    <n v="2"/>
    <n v="371690"/>
    <n v="743380"/>
    <x v="117"/>
    <x v="117"/>
    <x v="117"/>
    <x v="117"/>
  </r>
  <r>
    <x v="118"/>
    <x v="112"/>
    <x v="3"/>
    <x v="1"/>
    <x v="2"/>
    <x v="1"/>
    <x v="1"/>
    <n v="7"/>
    <n v="155686"/>
    <n v="1089802"/>
    <x v="118"/>
    <x v="118"/>
    <x v="118"/>
    <x v="118"/>
  </r>
  <r>
    <x v="119"/>
    <x v="113"/>
    <x v="0"/>
    <x v="0"/>
    <x v="3"/>
    <x v="0"/>
    <x v="1"/>
    <n v="4"/>
    <n v="138151"/>
    <n v="552604"/>
    <x v="119"/>
    <x v="119"/>
    <x v="119"/>
    <x v="119"/>
  </r>
  <r>
    <x v="120"/>
    <x v="114"/>
    <x v="2"/>
    <x v="1"/>
    <x v="3"/>
    <x v="5"/>
    <x v="0"/>
    <n v="8"/>
    <n v="315471"/>
    <n v="2523768"/>
    <x v="120"/>
    <x v="120"/>
    <x v="120"/>
    <x v="120"/>
  </r>
  <r>
    <x v="121"/>
    <x v="115"/>
    <x v="4"/>
    <x v="0"/>
    <x v="1"/>
    <x v="0"/>
    <x v="0"/>
    <n v="3"/>
    <n v="170318"/>
    <n v="510954"/>
    <x v="121"/>
    <x v="121"/>
    <x v="121"/>
    <x v="121"/>
  </r>
  <r>
    <x v="122"/>
    <x v="116"/>
    <x v="4"/>
    <x v="0"/>
    <x v="4"/>
    <x v="0"/>
    <x v="2"/>
    <n v="6"/>
    <n v="472984"/>
    <n v="2837904"/>
    <x v="122"/>
    <x v="122"/>
    <x v="122"/>
    <x v="122"/>
  </r>
  <r>
    <x v="123"/>
    <x v="117"/>
    <x v="2"/>
    <x v="1"/>
    <x v="2"/>
    <x v="5"/>
    <x v="1"/>
    <n v="9"/>
    <n v="245490"/>
    <n v="2209410"/>
    <x v="123"/>
    <x v="123"/>
    <x v="123"/>
    <x v="123"/>
  </r>
  <r>
    <x v="124"/>
    <x v="118"/>
    <x v="3"/>
    <x v="0"/>
    <x v="3"/>
    <x v="4"/>
    <x v="0"/>
    <n v="1"/>
    <n v="223860"/>
    <n v="223860"/>
    <x v="124"/>
    <x v="124"/>
    <x v="124"/>
    <x v="124"/>
  </r>
  <r>
    <x v="125"/>
    <x v="119"/>
    <x v="2"/>
    <x v="1"/>
    <x v="1"/>
    <x v="2"/>
    <x v="0"/>
    <n v="1"/>
    <n v="165945"/>
    <n v="165945"/>
    <x v="125"/>
    <x v="125"/>
    <x v="125"/>
    <x v="125"/>
  </r>
  <r>
    <x v="126"/>
    <x v="120"/>
    <x v="0"/>
    <x v="1"/>
    <x v="3"/>
    <x v="3"/>
    <x v="0"/>
    <n v="8"/>
    <n v="263456"/>
    <n v="2107648"/>
    <x v="126"/>
    <x v="126"/>
    <x v="126"/>
    <x v="126"/>
  </r>
  <r>
    <x v="127"/>
    <x v="121"/>
    <x v="2"/>
    <x v="0"/>
    <x v="2"/>
    <x v="0"/>
    <x v="0"/>
    <n v="3"/>
    <n v="358974"/>
    <n v="1076922"/>
    <x v="127"/>
    <x v="127"/>
    <x v="127"/>
    <x v="127"/>
  </r>
  <r>
    <x v="128"/>
    <x v="122"/>
    <x v="4"/>
    <x v="1"/>
    <x v="2"/>
    <x v="3"/>
    <x v="0"/>
    <n v="5"/>
    <n v="102446"/>
    <n v="512230"/>
    <x v="128"/>
    <x v="128"/>
    <x v="128"/>
    <x v="128"/>
  </r>
  <r>
    <x v="129"/>
    <x v="123"/>
    <x v="2"/>
    <x v="1"/>
    <x v="0"/>
    <x v="1"/>
    <x v="0"/>
    <n v="1"/>
    <n v="458376"/>
    <n v="458376"/>
    <x v="129"/>
    <x v="129"/>
    <x v="129"/>
    <x v="129"/>
  </r>
  <r>
    <x v="130"/>
    <x v="78"/>
    <x v="3"/>
    <x v="0"/>
    <x v="4"/>
    <x v="5"/>
    <x v="2"/>
    <n v="5"/>
    <n v="237655"/>
    <n v="1188275"/>
    <x v="130"/>
    <x v="130"/>
    <x v="130"/>
    <x v="130"/>
  </r>
  <r>
    <x v="131"/>
    <x v="124"/>
    <x v="1"/>
    <x v="1"/>
    <x v="0"/>
    <x v="3"/>
    <x v="1"/>
    <n v="6"/>
    <n v="477214"/>
    <n v="2863284"/>
    <x v="131"/>
    <x v="131"/>
    <x v="131"/>
    <x v="131"/>
  </r>
  <r>
    <x v="132"/>
    <x v="125"/>
    <x v="2"/>
    <x v="1"/>
    <x v="1"/>
    <x v="5"/>
    <x v="1"/>
    <n v="8"/>
    <n v="470446"/>
    <n v="3763568"/>
    <x v="132"/>
    <x v="132"/>
    <x v="132"/>
    <x v="132"/>
  </r>
  <r>
    <x v="133"/>
    <x v="126"/>
    <x v="3"/>
    <x v="1"/>
    <x v="3"/>
    <x v="3"/>
    <x v="0"/>
    <n v="3"/>
    <n v="190148"/>
    <n v="570444"/>
    <x v="133"/>
    <x v="133"/>
    <x v="133"/>
    <x v="133"/>
  </r>
  <r>
    <x v="134"/>
    <x v="115"/>
    <x v="3"/>
    <x v="0"/>
    <x v="1"/>
    <x v="2"/>
    <x v="1"/>
    <n v="3"/>
    <n v="119341"/>
    <n v="358023"/>
    <x v="134"/>
    <x v="134"/>
    <x v="134"/>
    <x v="134"/>
  </r>
  <r>
    <x v="135"/>
    <x v="127"/>
    <x v="4"/>
    <x v="1"/>
    <x v="2"/>
    <x v="2"/>
    <x v="1"/>
    <n v="9"/>
    <n v="81085"/>
    <n v="729765"/>
    <x v="135"/>
    <x v="135"/>
    <x v="135"/>
    <x v="135"/>
  </r>
  <r>
    <x v="136"/>
    <x v="128"/>
    <x v="3"/>
    <x v="0"/>
    <x v="0"/>
    <x v="2"/>
    <x v="1"/>
    <n v="4"/>
    <n v="367715"/>
    <n v="1470860"/>
    <x v="136"/>
    <x v="136"/>
    <x v="136"/>
    <x v="136"/>
  </r>
  <r>
    <x v="137"/>
    <x v="129"/>
    <x v="3"/>
    <x v="0"/>
    <x v="0"/>
    <x v="2"/>
    <x v="0"/>
    <n v="4"/>
    <n v="457931"/>
    <n v="1831724"/>
    <x v="137"/>
    <x v="137"/>
    <x v="137"/>
    <x v="137"/>
  </r>
  <r>
    <x v="138"/>
    <x v="93"/>
    <x v="3"/>
    <x v="1"/>
    <x v="0"/>
    <x v="2"/>
    <x v="0"/>
    <n v="7"/>
    <n v="440452"/>
    <n v="3083164"/>
    <x v="138"/>
    <x v="138"/>
    <x v="138"/>
    <x v="138"/>
  </r>
  <r>
    <x v="139"/>
    <x v="130"/>
    <x v="3"/>
    <x v="1"/>
    <x v="1"/>
    <x v="2"/>
    <x v="1"/>
    <n v="2"/>
    <n v="55750"/>
    <n v="111500"/>
    <x v="139"/>
    <x v="139"/>
    <x v="139"/>
    <x v="139"/>
  </r>
  <r>
    <x v="140"/>
    <x v="131"/>
    <x v="0"/>
    <x v="1"/>
    <x v="2"/>
    <x v="5"/>
    <x v="1"/>
    <n v="8"/>
    <n v="426075"/>
    <n v="3408600"/>
    <x v="140"/>
    <x v="140"/>
    <x v="140"/>
    <x v="140"/>
  </r>
  <r>
    <x v="141"/>
    <x v="132"/>
    <x v="0"/>
    <x v="0"/>
    <x v="3"/>
    <x v="0"/>
    <x v="0"/>
    <n v="6"/>
    <n v="390912"/>
    <n v="2345472"/>
    <x v="141"/>
    <x v="141"/>
    <x v="141"/>
    <x v="141"/>
  </r>
  <r>
    <x v="142"/>
    <x v="133"/>
    <x v="4"/>
    <x v="1"/>
    <x v="3"/>
    <x v="3"/>
    <x v="2"/>
    <n v="3"/>
    <n v="85903"/>
    <n v="257709"/>
    <x v="142"/>
    <x v="142"/>
    <x v="142"/>
    <x v="142"/>
  </r>
  <r>
    <x v="143"/>
    <x v="134"/>
    <x v="2"/>
    <x v="1"/>
    <x v="1"/>
    <x v="2"/>
    <x v="1"/>
    <n v="9"/>
    <n v="253561"/>
    <n v="2282049"/>
    <x v="143"/>
    <x v="143"/>
    <x v="143"/>
    <x v="143"/>
  </r>
  <r>
    <x v="144"/>
    <x v="135"/>
    <x v="3"/>
    <x v="1"/>
    <x v="0"/>
    <x v="5"/>
    <x v="2"/>
    <n v="5"/>
    <n v="475309"/>
    <n v="2376545"/>
    <x v="144"/>
    <x v="144"/>
    <x v="144"/>
    <x v="144"/>
  </r>
  <r>
    <x v="145"/>
    <x v="136"/>
    <x v="2"/>
    <x v="1"/>
    <x v="4"/>
    <x v="5"/>
    <x v="1"/>
    <n v="8"/>
    <n v="141036"/>
    <n v="1128288"/>
    <x v="145"/>
    <x v="145"/>
    <x v="145"/>
    <x v="145"/>
  </r>
  <r>
    <x v="146"/>
    <x v="44"/>
    <x v="2"/>
    <x v="1"/>
    <x v="1"/>
    <x v="5"/>
    <x v="2"/>
    <n v="7"/>
    <n v="137954"/>
    <n v="965678"/>
    <x v="146"/>
    <x v="146"/>
    <x v="146"/>
    <x v="146"/>
  </r>
  <r>
    <x v="147"/>
    <x v="116"/>
    <x v="4"/>
    <x v="0"/>
    <x v="1"/>
    <x v="0"/>
    <x v="2"/>
    <n v="8"/>
    <n v="477530"/>
    <n v="3820240"/>
    <x v="147"/>
    <x v="147"/>
    <x v="147"/>
    <x v="147"/>
  </r>
  <r>
    <x v="148"/>
    <x v="109"/>
    <x v="3"/>
    <x v="0"/>
    <x v="2"/>
    <x v="3"/>
    <x v="2"/>
    <n v="7"/>
    <n v="491441"/>
    <n v="3440087"/>
    <x v="148"/>
    <x v="148"/>
    <x v="148"/>
    <x v="148"/>
  </r>
  <r>
    <x v="149"/>
    <x v="137"/>
    <x v="3"/>
    <x v="1"/>
    <x v="3"/>
    <x v="0"/>
    <x v="0"/>
    <n v="3"/>
    <n v="395158"/>
    <n v="1185474"/>
    <x v="149"/>
    <x v="149"/>
    <x v="149"/>
    <x v="149"/>
  </r>
  <r>
    <x v="150"/>
    <x v="138"/>
    <x v="1"/>
    <x v="1"/>
    <x v="1"/>
    <x v="4"/>
    <x v="2"/>
    <n v="2"/>
    <n v="478395"/>
    <n v="956790"/>
    <x v="150"/>
    <x v="150"/>
    <x v="150"/>
    <x v="150"/>
  </r>
  <r>
    <x v="151"/>
    <x v="139"/>
    <x v="2"/>
    <x v="1"/>
    <x v="1"/>
    <x v="5"/>
    <x v="2"/>
    <n v="7"/>
    <n v="167305"/>
    <n v="1171135"/>
    <x v="151"/>
    <x v="151"/>
    <x v="151"/>
    <x v="151"/>
  </r>
  <r>
    <x v="152"/>
    <x v="140"/>
    <x v="2"/>
    <x v="1"/>
    <x v="0"/>
    <x v="4"/>
    <x v="2"/>
    <n v="3"/>
    <n v="468554"/>
    <n v="1405662"/>
    <x v="152"/>
    <x v="152"/>
    <x v="152"/>
    <x v="152"/>
  </r>
  <r>
    <x v="153"/>
    <x v="141"/>
    <x v="0"/>
    <x v="0"/>
    <x v="0"/>
    <x v="1"/>
    <x v="1"/>
    <n v="3"/>
    <n v="250753"/>
    <n v="752259"/>
    <x v="153"/>
    <x v="153"/>
    <x v="153"/>
    <x v="153"/>
  </r>
  <r>
    <x v="154"/>
    <x v="142"/>
    <x v="1"/>
    <x v="1"/>
    <x v="4"/>
    <x v="2"/>
    <x v="2"/>
    <n v="2"/>
    <n v="82101"/>
    <n v="164202"/>
    <x v="154"/>
    <x v="154"/>
    <x v="154"/>
    <x v="154"/>
  </r>
  <r>
    <x v="155"/>
    <x v="143"/>
    <x v="0"/>
    <x v="0"/>
    <x v="2"/>
    <x v="2"/>
    <x v="1"/>
    <n v="4"/>
    <n v="52775"/>
    <n v="211100"/>
    <x v="155"/>
    <x v="155"/>
    <x v="155"/>
    <x v="155"/>
  </r>
  <r>
    <x v="156"/>
    <x v="144"/>
    <x v="0"/>
    <x v="0"/>
    <x v="4"/>
    <x v="0"/>
    <x v="2"/>
    <n v="8"/>
    <n v="161497"/>
    <n v="1291976"/>
    <x v="156"/>
    <x v="156"/>
    <x v="156"/>
    <x v="156"/>
  </r>
  <r>
    <x v="157"/>
    <x v="145"/>
    <x v="0"/>
    <x v="1"/>
    <x v="0"/>
    <x v="3"/>
    <x v="2"/>
    <n v="1"/>
    <n v="95619"/>
    <n v="95619"/>
    <x v="157"/>
    <x v="157"/>
    <x v="157"/>
    <x v="157"/>
  </r>
  <r>
    <x v="158"/>
    <x v="146"/>
    <x v="4"/>
    <x v="0"/>
    <x v="3"/>
    <x v="4"/>
    <x v="0"/>
    <n v="1"/>
    <n v="489054"/>
    <n v="489054"/>
    <x v="158"/>
    <x v="158"/>
    <x v="158"/>
    <x v="158"/>
  </r>
  <r>
    <x v="159"/>
    <x v="35"/>
    <x v="4"/>
    <x v="0"/>
    <x v="0"/>
    <x v="3"/>
    <x v="1"/>
    <n v="5"/>
    <n v="302388"/>
    <n v="1511940"/>
    <x v="159"/>
    <x v="159"/>
    <x v="159"/>
    <x v="159"/>
  </r>
  <r>
    <x v="160"/>
    <x v="147"/>
    <x v="0"/>
    <x v="0"/>
    <x v="2"/>
    <x v="0"/>
    <x v="2"/>
    <n v="5"/>
    <n v="462755"/>
    <n v="2313775"/>
    <x v="160"/>
    <x v="160"/>
    <x v="160"/>
    <x v="160"/>
  </r>
  <r>
    <x v="161"/>
    <x v="117"/>
    <x v="1"/>
    <x v="0"/>
    <x v="0"/>
    <x v="2"/>
    <x v="1"/>
    <n v="1"/>
    <n v="283346"/>
    <n v="283346"/>
    <x v="161"/>
    <x v="161"/>
    <x v="161"/>
    <x v="161"/>
  </r>
  <r>
    <x v="162"/>
    <x v="148"/>
    <x v="2"/>
    <x v="1"/>
    <x v="2"/>
    <x v="3"/>
    <x v="1"/>
    <n v="6"/>
    <n v="369268"/>
    <n v="2215608"/>
    <x v="162"/>
    <x v="162"/>
    <x v="162"/>
    <x v="162"/>
  </r>
  <r>
    <x v="163"/>
    <x v="110"/>
    <x v="1"/>
    <x v="1"/>
    <x v="2"/>
    <x v="3"/>
    <x v="0"/>
    <n v="1"/>
    <n v="115149"/>
    <n v="115149"/>
    <x v="163"/>
    <x v="163"/>
    <x v="163"/>
    <x v="163"/>
  </r>
  <r>
    <x v="164"/>
    <x v="149"/>
    <x v="3"/>
    <x v="0"/>
    <x v="2"/>
    <x v="2"/>
    <x v="0"/>
    <n v="5"/>
    <n v="76616"/>
    <n v="383080"/>
    <x v="164"/>
    <x v="164"/>
    <x v="164"/>
    <x v="164"/>
  </r>
  <r>
    <x v="165"/>
    <x v="73"/>
    <x v="4"/>
    <x v="1"/>
    <x v="2"/>
    <x v="4"/>
    <x v="0"/>
    <n v="9"/>
    <n v="271767"/>
    <n v="2445903"/>
    <x v="165"/>
    <x v="165"/>
    <x v="165"/>
    <x v="165"/>
  </r>
  <r>
    <x v="166"/>
    <x v="55"/>
    <x v="2"/>
    <x v="1"/>
    <x v="2"/>
    <x v="2"/>
    <x v="0"/>
    <n v="5"/>
    <n v="235639"/>
    <n v="1178195"/>
    <x v="166"/>
    <x v="166"/>
    <x v="166"/>
    <x v="166"/>
  </r>
  <r>
    <x v="167"/>
    <x v="11"/>
    <x v="2"/>
    <x v="1"/>
    <x v="3"/>
    <x v="3"/>
    <x v="0"/>
    <n v="6"/>
    <n v="218171"/>
    <n v="1309026"/>
    <x v="167"/>
    <x v="167"/>
    <x v="167"/>
    <x v="167"/>
  </r>
  <r>
    <x v="168"/>
    <x v="150"/>
    <x v="3"/>
    <x v="1"/>
    <x v="4"/>
    <x v="4"/>
    <x v="0"/>
    <n v="8"/>
    <n v="256903"/>
    <n v="2055224"/>
    <x v="168"/>
    <x v="168"/>
    <x v="168"/>
    <x v="168"/>
  </r>
  <r>
    <x v="169"/>
    <x v="151"/>
    <x v="3"/>
    <x v="1"/>
    <x v="1"/>
    <x v="4"/>
    <x v="0"/>
    <n v="1"/>
    <n v="281318"/>
    <n v="281318"/>
    <x v="169"/>
    <x v="169"/>
    <x v="169"/>
    <x v="169"/>
  </r>
  <r>
    <x v="170"/>
    <x v="152"/>
    <x v="0"/>
    <x v="0"/>
    <x v="4"/>
    <x v="2"/>
    <x v="0"/>
    <n v="2"/>
    <n v="373943"/>
    <n v="747886"/>
    <x v="170"/>
    <x v="170"/>
    <x v="170"/>
    <x v="170"/>
  </r>
  <r>
    <x v="171"/>
    <x v="153"/>
    <x v="4"/>
    <x v="1"/>
    <x v="2"/>
    <x v="3"/>
    <x v="2"/>
    <n v="9"/>
    <n v="402365"/>
    <n v="3621285"/>
    <x v="171"/>
    <x v="171"/>
    <x v="171"/>
    <x v="171"/>
  </r>
  <r>
    <x v="172"/>
    <x v="109"/>
    <x v="4"/>
    <x v="1"/>
    <x v="3"/>
    <x v="0"/>
    <x v="1"/>
    <n v="3"/>
    <n v="427023"/>
    <n v="1281069"/>
    <x v="172"/>
    <x v="172"/>
    <x v="172"/>
    <x v="172"/>
  </r>
  <r>
    <x v="173"/>
    <x v="38"/>
    <x v="1"/>
    <x v="1"/>
    <x v="0"/>
    <x v="3"/>
    <x v="0"/>
    <n v="6"/>
    <n v="337623"/>
    <n v="2025738"/>
    <x v="173"/>
    <x v="173"/>
    <x v="173"/>
    <x v="173"/>
  </r>
  <r>
    <x v="174"/>
    <x v="154"/>
    <x v="0"/>
    <x v="1"/>
    <x v="3"/>
    <x v="5"/>
    <x v="0"/>
    <n v="5"/>
    <n v="489388"/>
    <n v="2446940"/>
    <x v="174"/>
    <x v="174"/>
    <x v="174"/>
    <x v="174"/>
  </r>
  <r>
    <x v="175"/>
    <x v="155"/>
    <x v="0"/>
    <x v="0"/>
    <x v="2"/>
    <x v="1"/>
    <x v="1"/>
    <n v="2"/>
    <n v="411309"/>
    <n v="822618"/>
    <x v="175"/>
    <x v="175"/>
    <x v="175"/>
    <x v="175"/>
  </r>
  <r>
    <x v="176"/>
    <x v="156"/>
    <x v="0"/>
    <x v="0"/>
    <x v="3"/>
    <x v="0"/>
    <x v="2"/>
    <n v="7"/>
    <n v="105863"/>
    <n v="741041"/>
    <x v="176"/>
    <x v="176"/>
    <x v="176"/>
    <x v="176"/>
  </r>
  <r>
    <x v="177"/>
    <x v="157"/>
    <x v="0"/>
    <x v="0"/>
    <x v="3"/>
    <x v="4"/>
    <x v="1"/>
    <n v="4"/>
    <n v="223115"/>
    <n v="892460"/>
    <x v="177"/>
    <x v="177"/>
    <x v="177"/>
    <x v="177"/>
  </r>
  <r>
    <x v="178"/>
    <x v="158"/>
    <x v="4"/>
    <x v="0"/>
    <x v="2"/>
    <x v="0"/>
    <x v="1"/>
    <n v="1"/>
    <n v="394713"/>
    <n v="394713"/>
    <x v="178"/>
    <x v="178"/>
    <x v="178"/>
    <x v="178"/>
  </r>
  <r>
    <x v="179"/>
    <x v="159"/>
    <x v="4"/>
    <x v="1"/>
    <x v="3"/>
    <x v="4"/>
    <x v="0"/>
    <n v="4"/>
    <n v="458624"/>
    <n v="1834496"/>
    <x v="179"/>
    <x v="179"/>
    <x v="179"/>
    <x v="179"/>
  </r>
  <r>
    <x v="180"/>
    <x v="160"/>
    <x v="0"/>
    <x v="0"/>
    <x v="1"/>
    <x v="4"/>
    <x v="1"/>
    <n v="6"/>
    <n v="303347"/>
    <n v="1820082"/>
    <x v="180"/>
    <x v="180"/>
    <x v="180"/>
    <x v="180"/>
  </r>
  <r>
    <x v="181"/>
    <x v="161"/>
    <x v="1"/>
    <x v="1"/>
    <x v="1"/>
    <x v="0"/>
    <x v="1"/>
    <n v="7"/>
    <n v="239052"/>
    <n v="1673364"/>
    <x v="181"/>
    <x v="181"/>
    <x v="181"/>
    <x v="181"/>
  </r>
  <r>
    <x v="182"/>
    <x v="162"/>
    <x v="2"/>
    <x v="1"/>
    <x v="3"/>
    <x v="4"/>
    <x v="0"/>
    <n v="7"/>
    <n v="328495"/>
    <n v="2299465"/>
    <x v="182"/>
    <x v="182"/>
    <x v="182"/>
    <x v="182"/>
  </r>
  <r>
    <x v="183"/>
    <x v="77"/>
    <x v="2"/>
    <x v="1"/>
    <x v="0"/>
    <x v="4"/>
    <x v="0"/>
    <n v="7"/>
    <n v="185203"/>
    <n v="1296421"/>
    <x v="183"/>
    <x v="183"/>
    <x v="183"/>
    <x v="183"/>
  </r>
  <r>
    <x v="184"/>
    <x v="163"/>
    <x v="1"/>
    <x v="1"/>
    <x v="2"/>
    <x v="5"/>
    <x v="0"/>
    <n v="3"/>
    <n v="297908"/>
    <n v="893724"/>
    <x v="184"/>
    <x v="184"/>
    <x v="184"/>
    <x v="184"/>
  </r>
  <r>
    <x v="185"/>
    <x v="164"/>
    <x v="0"/>
    <x v="1"/>
    <x v="1"/>
    <x v="3"/>
    <x v="0"/>
    <n v="6"/>
    <n v="356969"/>
    <n v="2141814"/>
    <x v="185"/>
    <x v="185"/>
    <x v="185"/>
    <x v="185"/>
  </r>
  <r>
    <x v="186"/>
    <x v="165"/>
    <x v="4"/>
    <x v="0"/>
    <x v="0"/>
    <x v="3"/>
    <x v="1"/>
    <n v="8"/>
    <n v="323493"/>
    <n v="2587944"/>
    <x v="186"/>
    <x v="186"/>
    <x v="186"/>
    <x v="186"/>
  </r>
  <r>
    <x v="187"/>
    <x v="166"/>
    <x v="2"/>
    <x v="0"/>
    <x v="3"/>
    <x v="1"/>
    <x v="1"/>
    <n v="4"/>
    <n v="242003"/>
    <n v="968012"/>
    <x v="187"/>
    <x v="187"/>
    <x v="187"/>
    <x v="187"/>
  </r>
  <r>
    <x v="188"/>
    <x v="154"/>
    <x v="3"/>
    <x v="0"/>
    <x v="0"/>
    <x v="1"/>
    <x v="2"/>
    <n v="8"/>
    <n v="356398"/>
    <n v="2851184"/>
    <x v="188"/>
    <x v="188"/>
    <x v="188"/>
    <x v="188"/>
  </r>
  <r>
    <x v="189"/>
    <x v="167"/>
    <x v="3"/>
    <x v="0"/>
    <x v="4"/>
    <x v="5"/>
    <x v="2"/>
    <n v="2"/>
    <n v="350369"/>
    <n v="700738"/>
    <x v="189"/>
    <x v="189"/>
    <x v="189"/>
    <x v="189"/>
  </r>
  <r>
    <x v="190"/>
    <x v="120"/>
    <x v="1"/>
    <x v="1"/>
    <x v="1"/>
    <x v="1"/>
    <x v="1"/>
    <n v="9"/>
    <n v="324597"/>
    <n v="2921373"/>
    <x v="190"/>
    <x v="190"/>
    <x v="190"/>
    <x v="190"/>
  </r>
  <r>
    <x v="191"/>
    <x v="16"/>
    <x v="0"/>
    <x v="0"/>
    <x v="3"/>
    <x v="0"/>
    <x v="2"/>
    <n v="9"/>
    <n v="199886"/>
    <n v="1798974"/>
    <x v="191"/>
    <x v="191"/>
    <x v="191"/>
    <x v="191"/>
  </r>
  <r>
    <x v="192"/>
    <x v="168"/>
    <x v="2"/>
    <x v="1"/>
    <x v="2"/>
    <x v="2"/>
    <x v="1"/>
    <n v="8"/>
    <n v="199335"/>
    <n v="1594680"/>
    <x v="192"/>
    <x v="192"/>
    <x v="192"/>
    <x v="192"/>
  </r>
  <r>
    <x v="193"/>
    <x v="169"/>
    <x v="0"/>
    <x v="0"/>
    <x v="3"/>
    <x v="2"/>
    <x v="2"/>
    <n v="1"/>
    <n v="127694"/>
    <n v="127694"/>
    <x v="193"/>
    <x v="193"/>
    <x v="193"/>
    <x v="193"/>
  </r>
  <r>
    <x v="194"/>
    <x v="170"/>
    <x v="2"/>
    <x v="1"/>
    <x v="2"/>
    <x v="2"/>
    <x v="0"/>
    <n v="2"/>
    <n v="65735"/>
    <n v="131470"/>
    <x v="194"/>
    <x v="194"/>
    <x v="194"/>
    <x v="194"/>
  </r>
  <r>
    <x v="195"/>
    <x v="98"/>
    <x v="1"/>
    <x v="1"/>
    <x v="3"/>
    <x v="5"/>
    <x v="2"/>
    <n v="6"/>
    <n v="459046"/>
    <n v="2754276"/>
    <x v="195"/>
    <x v="195"/>
    <x v="195"/>
    <x v="195"/>
  </r>
  <r>
    <x v="196"/>
    <x v="171"/>
    <x v="1"/>
    <x v="0"/>
    <x v="0"/>
    <x v="5"/>
    <x v="0"/>
    <n v="5"/>
    <n v="360037"/>
    <n v="1800185"/>
    <x v="196"/>
    <x v="196"/>
    <x v="196"/>
    <x v="196"/>
  </r>
  <r>
    <x v="197"/>
    <x v="172"/>
    <x v="3"/>
    <x v="1"/>
    <x v="0"/>
    <x v="4"/>
    <x v="0"/>
    <n v="9"/>
    <n v="225745"/>
    <n v="2031705"/>
    <x v="197"/>
    <x v="197"/>
    <x v="197"/>
    <x v="197"/>
  </r>
  <r>
    <x v="198"/>
    <x v="173"/>
    <x v="0"/>
    <x v="1"/>
    <x v="0"/>
    <x v="2"/>
    <x v="0"/>
    <n v="5"/>
    <n v="439150"/>
    <n v="2195750"/>
    <x v="198"/>
    <x v="198"/>
    <x v="198"/>
    <x v="198"/>
  </r>
  <r>
    <x v="199"/>
    <x v="174"/>
    <x v="3"/>
    <x v="0"/>
    <x v="4"/>
    <x v="0"/>
    <x v="0"/>
    <n v="2"/>
    <n v="270534"/>
    <n v="541068"/>
    <x v="199"/>
    <x v="199"/>
    <x v="199"/>
    <x v="199"/>
  </r>
  <r>
    <x v="200"/>
    <x v="175"/>
    <x v="0"/>
    <x v="1"/>
    <x v="2"/>
    <x v="1"/>
    <x v="2"/>
    <n v="4"/>
    <n v="95066"/>
    <n v="380264"/>
    <x v="200"/>
    <x v="200"/>
    <x v="200"/>
    <x v="200"/>
  </r>
  <r>
    <x v="201"/>
    <x v="135"/>
    <x v="3"/>
    <x v="0"/>
    <x v="0"/>
    <x v="0"/>
    <x v="1"/>
    <n v="9"/>
    <n v="281387"/>
    <n v="2532483"/>
    <x v="201"/>
    <x v="201"/>
    <x v="201"/>
    <x v="201"/>
  </r>
  <r>
    <x v="202"/>
    <x v="176"/>
    <x v="4"/>
    <x v="0"/>
    <x v="4"/>
    <x v="1"/>
    <x v="0"/>
    <n v="1"/>
    <n v="184445"/>
    <n v="184445"/>
    <x v="202"/>
    <x v="202"/>
    <x v="202"/>
    <x v="202"/>
  </r>
  <r>
    <x v="203"/>
    <x v="177"/>
    <x v="4"/>
    <x v="0"/>
    <x v="2"/>
    <x v="2"/>
    <x v="2"/>
    <n v="1"/>
    <n v="453551"/>
    <n v="453551"/>
    <x v="203"/>
    <x v="203"/>
    <x v="203"/>
    <x v="203"/>
  </r>
  <r>
    <x v="204"/>
    <x v="23"/>
    <x v="4"/>
    <x v="1"/>
    <x v="3"/>
    <x v="2"/>
    <x v="0"/>
    <n v="7"/>
    <n v="466957"/>
    <n v="3268699"/>
    <x v="204"/>
    <x v="204"/>
    <x v="204"/>
    <x v="204"/>
  </r>
  <r>
    <x v="205"/>
    <x v="178"/>
    <x v="4"/>
    <x v="1"/>
    <x v="4"/>
    <x v="2"/>
    <x v="2"/>
    <n v="3"/>
    <n v="322836"/>
    <n v="968508"/>
    <x v="205"/>
    <x v="205"/>
    <x v="205"/>
    <x v="205"/>
  </r>
  <r>
    <x v="206"/>
    <x v="173"/>
    <x v="2"/>
    <x v="1"/>
    <x v="1"/>
    <x v="5"/>
    <x v="2"/>
    <n v="2"/>
    <n v="490511"/>
    <n v="981022"/>
    <x v="206"/>
    <x v="206"/>
    <x v="206"/>
    <x v="206"/>
  </r>
  <r>
    <x v="207"/>
    <x v="123"/>
    <x v="4"/>
    <x v="0"/>
    <x v="4"/>
    <x v="1"/>
    <x v="2"/>
    <n v="9"/>
    <n v="95541"/>
    <n v="859869"/>
    <x v="207"/>
    <x v="207"/>
    <x v="207"/>
    <x v="207"/>
  </r>
  <r>
    <x v="208"/>
    <x v="179"/>
    <x v="1"/>
    <x v="1"/>
    <x v="4"/>
    <x v="5"/>
    <x v="1"/>
    <n v="3"/>
    <n v="215129"/>
    <n v="645387"/>
    <x v="208"/>
    <x v="208"/>
    <x v="208"/>
    <x v="208"/>
  </r>
  <r>
    <x v="209"/>
    <x v="63"/>
    <x v="1"/>
    <x v="0"/>
    <x v="2"/>
    <x v="5"/>
    <x v="2"/>
    <n v="2"/>
    <n v="116983"/>
    <n v="233966"/>
    <x v="209"/>
    <x v="209"/>
    <x v="209"/>
    <x v="209"/>
  </r>
  <r>
    <x v="210"/>
    <x v="143"/>
    <x v="2"/>
    <x v="0"/>
    <x v="3"/>
    <x v="3"/>
    <x v="2"/>
    <n v="8"/>
    <n v="200655"/>
    <n v="1605240"/>
    <x v="210"/>
    <x v="210"/>
    <x v="210"/>
    <x v="210"/>
  </r>
  <r>
    <x v="211"/>
    <x v="173"/>
    <x v="4"/>
    <x v="1"/>
    <x v="1"/>
    <x v="0"/>
    <x v="1"/>
    <n v="6"/>
    <n v="203837"/>
    <n v="1223022"/>
    <x v="211"/>
    <x v="211"/>
    <x v="211"/>
    <x v="211"/>
  </r>
  <r>
    <x v="212"/>
    <x v="65"/>
    <x v="4"/>
    <x v="0"/>
    <x v="0"/>
    <x v="0"/>
    <x v="1"/>
    <n v="6"/>
    <n v="240359"/>
    <n v="1442154"/>
    <x v="212"/>
    <x v="212"/>
    <x v="212"/>
    <x v="212"/>
  </r>
  <r>
    <x v="213"/>
    <x v="180"/>
    <x v="4"/>
    <x v="1"/>
    <x v="0"/>
    <x v="4"/>
    <x v="2"/>
    <n v="7"/>
    <n v="467122"/>
    <n v="3269854"/>
    <x v="213"/>
    <x v="213"/>
    <x v="213"/>
    <x v="213"/>
  </r>
  <r>
    <x v="214"/>
    <x v="181"/>
    <x v="3"/>
    <x v="1"/>
    <x v="4"/>
    <x v="5"/>
    <x v="1"/>
    <n v="7"/>
    <n v="432891"/>
    <n v="3030237"/>
    <x v="214"/>
    <x v="214"/>
    <x v="214"/>
    <x v="214"/>
  </r>
  <r>
    <x v="215"/>
    <x v="67"/>
    <x v="0"/>
    <x v="1"/>
    <x v="2"/>
    <x v="1"/>
    <x v="0"/>
    <n v="6"/>
    <n v="397247"/>
    <n v="2383482"/>
    <x v="215"/>
    <x v="215"/>
    <x v="215"/>
    <x v="215"/>
  </r>
  <r>
    <x v="216"/>
    <x v="154"/>
    <x v="3"/>
    <x v="1"/>
    <x v="2"/>
    <x v="3"/>
    <x v="0"/>
    <n v="4"/>
    <n v="260747"/>
    <n v="1042988"/>
    <x v="216"/>
    <x v="216"/>
    <x v="216"/>
    <x v="216"/>
  </r>
  <r>
    <x v="217"/>
    <x v="155"/>
    <x v="0"/>
    <x v="1"/>
    <x v="0"/>
    <x v="3"/>
    <x v="1"/>
    <n v="9"/>
    <n v="227597"/>
    <n v="2048373"/>
    <x v="217"/>
    <x v="217"/>
    <x v="217"/>
    <x v="217"/>
  </r>
  <r>
    <x v="218"/>
    <x v="182"/>
    <x v="4"/>
    <x v="0"/>
    <x v="1"/>
    <x v="0"/>
    <x v="1"/>
    <n v="6"/>
    <n v="219302"/>
    <n v="1315812"/>
    <x v="218"/>
    <x v="218"/>
    <x v="218"/>
    <x v="218"/>
  </r>
  <r>
    <x v="219"/>
    <x v="183"/>
    <x v="4"/>
    <x v="0"/>
    <x v="3"/>
    <x v="5"/>
    <x v="2"/>
    <n v="4"/>
    <n v="462736"/>
    <n v="1850944"/>
    <x v="219"/>
    <x v="219"/>
    <x v="219"/>
    <x v="219"/>
  </r>
  <r>
    <x v="220"/>
    <x v="184"/>
    <x v="3"/>
    <x v="0"/>
    <x v="1"/>
    <x v="4"/>
    <x v="1"/>
    <n v="3"/>
    <n v="495150"/>
    <n v="1485450"/>
    <x v="220"/>
    <x v="220"/>
    <x v="220"/>
    <x v="220"/>
  </r>
  <r>
    <x v="221"/>
    <x v="86"/>
    <x v="3"/>
    <x v="1"/>
    <x v="3"/>
    <x v="5"/>
    <x v="2"/>
    <n v="4"/>
    <n v="337710"/>
    <n v="1350840"/>
    <x v="221"/>
    <x v="221"/>
    <x v="221"/>
    <x v="221"/>
  </r>
  <r>
    <x v="222"/>
    <x v="120"/>
    <x v="0"/>
    <x v="1"/>
    <x v="0"/>
    <x v="2"/>
    <x v="0"/>
    <n v="3"/>
    <n v="385337"/>
    <n v="1156011"/>
    <x v="222"/>
    <x v="222"/>
    <x v="222"/>
    <x v="222"/>
  </r>
  <r>
    <x v="223"/>
    <x v="72"/>
    <x v="1"/>
    <x v="1"/>
    <x v="3"/>
    <x v="5"/>
    <x v="1"/>
    <n v="2"/>
    <n v="473350"/>
    <n v="946700"/>
    <x v="223"/>
    <x v="223"/>
    <x v="223"/>
    <x v="223"/>
  </r>
  <r>
    <x v="224"/>
    <x v="169"/>
    <x v="0"/>
    <x v="0"/>
    <x v="2"/>
    <x v="2"/>
    <x v="2"/>
    <n v="5"/>
    <n v="453561"/>
    <n v="2267805"/>
    <x v="224"/>
    <x v="224"/>
    <x v="224"/>
    <x v="224"/>
  </r>
  <r>
    <x v="225"/>
    <x v="162"/>
    <x v="3"/>
    <x v="1"/>
    <x v="4"/>
    <x v="2"/>
    <x v="2"/>
    <n v="2"/>
    <n v="302084"/>
    <n v="604168"/>
    <x v="225"/>
    <x v="225"/>
    <x v="225"/>
    <x v="225"/>
  </r>
  <r>
    <x v="226"/>
    <x v="185"/>
    <x v="3"/>
    <x v="0"/>
    <x v="4"/>
    <x v="4"/>
    <x v="0"/>
    <n v="6"/>
    <n v="171015"/>
    <n v="1026090"/>
    <x v="226"/>
    <x v="226"/>
    <x v="226"/>
    <x v="226"/>
  </r>
  <r>
    <x v="227"/>
    <x v="186"/>
    <x v="2"/>
    <x v="0"/>
    <x v="0"/>
    <x v="1"/>
    <x v="1"/>
    <n v="3"/>
    <n v="222257"/>
    <n v="666771"/>
    <x v="227"/>
    <x v="227"/>
    <x v="227"/>
    <x v="227"/>
  </r>
  <r>
    <x v="228"/>
    <x v="187"/>
    <x v="3"/>
    <x v="1"/>
    <x v="2"/>
    <x v="0"/>
    <x v="0"/>
    <n v="6"/>
    <n v="296536"/>
    <n v="1779216"/>
    <x v="228"/>
    <x v="228"/>
    <x v="228"/>
    <x v="228"/>
  </r>
  <r>
    <x v="229"/>
    <x v="188"/>
    <x v="2"/>
    <x v="1"/>
    <x v="1"/>
    <x v="5"/>
    <x v="2"/>
    <n v="9"/>
    <n v="274021"/>
    <n v="2466189"/>
    <x v="229"/>
    <x v="229"/>
    <x v="229"/>
    <x v="229"/>
  </r>
  <r>
    <x v="230"/>
    <x v="189"/>
    <x v="1"/>
    <x v="0"/>
    <x v="2"/>
    <x v="2"/>
    <x v="2"/>
    <n v="1"/>
    <n v="180956"/>
    <n v="180956"/>
    <x v="230"/>
    <x v="230"/>
    <x v="230"/>
    <x v="230"/>
  </r>
  <r>
    <x v="231"/>
    <x v="190"/>
    <x v="0"/>
    <x v="1"/>
    <x v="4"/>
    <x v="5"/>
    <x v="1"/>
    <n v="6"/>
    <n v="120744"/>
    <n v="724464"/>
    <x v="231"/>
    <x v="231"/>
    <x v="231"/>
    <x v="231"/>
  </r>
  <r>
    <x v="232"/>
    <x v="191"/>
    <x v="0"/>
    <x v="0"/>
    <x v="4"/>
    <x v="1"/>
    <x v="2"/>
    <n v="9"/>
    <n v="345599"/>
    <n v="3110391"/>
    <x v="232"/>
    <x v="232"/>
    <x v="232"/>
    <x v="232"/>
  </r>
  <r>
    <x v="233"/>
    <x v="192"/>
    <x v="2"/>
    <x v="1"/>
    <x v="2"/>
    <x v="0"/>
    <x v="1"/>
    <n v="4"/>
    <n v="471234"/>
    <n v="1884936"/>
    <x v="233"/>
    <x v="233"/>
    <x v="233"/>
    <x v="233"/>
  </r>
  <r>
    <x v="234"/>
    <x v="193"/>
    <x v="0"/>
    <x v="1"/>
    <x v="2"/>
    <x v="1"/>
    <x v="0"/>
    <n v="2"/>
    <n v="366363"/>
    <n v="732726"/>
    <x v="234"/>
    <x v="234"/>
    <x v="234"/>
    <x v="234"/>
  </r>
  <r>
    <x v="235"/>
    <x v="194"/>
    <x v="3"/>
    <x v="0"/>
    <x v="4"/>
    <x v="0"/>
    <x v="1"/>
    <n v="4"/>
    <n v="358135"/>
    <n v="1432540"/>
    <x v="235"/>
    <x v="235"/>
    <x v="235"/>
    <x v="235"/>
  </r>
  <r>
    <x v="236"/>
    <x v="195"/>
    <x v="4"/>
    <x v="1"/>
    <x v="1"/>
    <x v="3"/>
    <x v="1"/>
    <n v="1"/>
    <n v="123616"/>
    <n v="123616"/>
    <x v="236"/>
    <x v="236"/>
    <x v="236"/>
    <x v="236"/>
  </r>
  <r>
    <x v="237"/>
    <x v="34"/>
    <x v="2"/>
    <x v="0"/>
    <x v="0"/>
    <x v="0"/>
    <x v="2"/>
    <n v="3"/>
    <n v="137438"/>
    <n v="412314"/>
    <x v="237"/>
    <x v="237"/>
    <x v="237"/>
    <x v="237"/>
  </r>
  <r>
    <x v="238"/>
    <x v="196"/>
    <x v="0"/>
    <x v="1"/>
    <x v="0"/>
    <x v="4"/>
    <x v="2"/>
    <n v="9"/>
    <n v="166841"/>
    <n v="1501569"/>
    <x v="238"/>
    <x v="238"/>
    <x v="238"/>
    <x v="238"/>
  </r>
  <r>
    <x v="239"/>
    <x v="197"/>
    <x v="2"/>
    <x v="0"/>
    <x v="2"/>
    <x v="1"/>
    <x v="1"/>
    <n v="5"/>
    <n v="190558"/>
    <n v="952790"/>
    <x v="239"/>
    <x v="239"/>
    <x v="239"/>
    <x v="239"/>
  </r>
  <r>
    <x v="240"/>
    <x v="112"/>
    <x v="2"/>
    <x v="0"/>
    <x v="0"/>
    <x v="2"/>
    <x v="2"/>
    <n v="6"/>
    <n v="219934"/>
    <n v="1319604"/>
    <x v="240"/>
    <x v="240"/>
    <x v="240"/>
    <x v="240"/>
  </r>
  <r>
    <x v="241"/>
    <x v="198"/>
    <x v="4"/>
    <x v="1"/>
    <x v="4"/>
    <x v="3"/>
    <x v="2"/>
    <n v="3"/>
    <n v="302734"/>
    <n v="908202"/>
    <x v="241"/>
    <x v="241"/>
    <x v="241"/>
    <x v="241"/>
  </r>
  <r>
    <x v="242"/>
    <x v="199"/>
    <x v="3"/>
    <x v="0"/>
    <x v="4"/>
    <x v="4"/>
    <x v="2"/>
    <n v="5"/>
    <n v="108870"/>
    <n v="544350"/>
    <x v="242"/>
    <x v="242"/>
    <x v="242"/>
    <x v="242"/>
  </r>
  <r>
    <x v="243"/>
    <x v="200"/>
    <x v="2"/>
    <x v="1"/>
    <x v="2"/>
    <x v="5"/>
    <x v="1"/>
    <n v="8"/>
    <n v="136694"/>
    <n v="1093552"/>
    <x v="243"/>
    <x v="243"/>
    <x v="243"/>
    <x v="243"/>
  </r>
  <r>
    <x v="244"/>
    <x v="201"/>
    <x v="0"/>
    <x v="1"/>
    <x v="2"/>
    <x v="1"/>
    <x v="2"/>
    <n v="6"/>
    <n v="287068"/>
    <n v="1722408"/>
    <x v="244"/>
    <x v="244"/>
    <x v="244"/>
    <x v="244"/>
  </r>
  <r>
    <x v="245"/>
    <x v="202"/>
    <x v="1"/>
    <x v="1"/>
    <x v="2"/>
    <x v="2"/>
    <x v="1"/>
    <n v="4"/>
    <n v="356000"/>
    <n v="1424000"/>
    <x v="245"/>
    <x v="245"/>
    <x v="245"/>
    <x v="245"/>
  </r>
  <r>
    <x v="246"/>
    <x v="203"/>
    <x v="2"/>
    <x v="0"/>
    <x v="1"/>
    <x v="0"/>
    <x v="2"/>
    <n v="2"/>
    <n v="151407"/>
    <n v="302814"/>
    <x v="246"/>
    <x v="246"/>
    <x v="246"/>
    <x v="246"/>
  </r>
  <r>
    <x v="247"/>
    <x v="182"/>
    <x v="2"/>
    <x v="0"/>
    <x v="0"/>
    <x v="2"/>
    <x v="0"/>
    <n v="9"/>
    <n v="81379"/>
    <n v="732411"/>
    <x v="247"/>
    <x v="247"/>
    <x v="247"/>
    <x v="247"/>
  </r>
  <r>
    <x v="248"/>
    <x v="53"/>
    <x v="4"/>
    <x v="1"/>
    <x v="2"/>
    <x v="5"/>
    <x v="2"/>
    <n v="1"/>
    <n v="376873"/>
    <n v="376873"/>
    <x v="248"/>
    <x v="248"/>
    <x v="248"/>
    <x v="248"/>
  </r>
  <r>
    <x v="249"/>
    <x v="34"/>
    <x v="3"/>
    <x v="1"/>
    <x v="3"/>
    <x v="3"/>
    <x v="2"/>
    <n v="1"/>
    <n v="471594"/>
    <n v="471594"/>
    <x v="249"/>
    <x v="249"/>
    <x v="249"/>
    <x v="249"/>
  </r>
  <r>
    <x v="250"/>
    <x v="204"/>
    <x v="1"/>
    <x v="0"/>
    <x v="3"/>
    <x v="3"/>
    <x v="1"/>
    <n v="4"/>
    <n v="286500"/>
    <n v="1146000"/>
    <x v="250"/>
    <x v="250"/>
    <x v="250"/>
    <x v="250"/>
  </r>
  <r>
    <x v="251"/>
    <x v="205"/>
    <x v="0"/>
    <x v="1"/>
    <x v="4"/>
    <x v="1"/>
    <x v="1"/>
    <n v="7"/>
    <n v="104353"/>
    <n v="730471"/>
    <x v="251"/>
    <x v="251"/>
    <x v="251"/>
    <x v="251"/>
  </r>
  <r>
    <x v="252"/>
    <x v="206"/>
    <x v="1"/>
    <x v="1"/>
    <x v="0"/>
    <x v="3"/>
    <x v="2"/>
    <n v="1"/>
    <n v="231068"/>
    <n v="231068"/>
    <x v="252"/>
    <x v="252"/>
    <x v="252"/>
    <x v="252"/>
  </r>
  <r>
    <x v="253"/>
    <x v="207"/>
    <x v="0"/>
    <x v="0"/>
    <x v="2"/>
    <x v="1"/>
    <x v="0"/>
    <n v="9"/>
    <n v="326175"/>
    <n v="2935575"/>
    <x v="253"/>
    <x v="253"/>
    <x v="253"/>
    <x v="253"/>
  </r>
  <r>
    <x v="254"/>
    <x v="150"/>
    <x v="3"/>
    <x v="1"/>
    <x v="3"/>
    <x v="1"/>
    <x v="2"/>
    <n v="4"/>
    <n v="261144"/>
    <n v="1044576"/>
    <x v="254"/>
    <x v="254"/>
    <x v="254"/>
    <x v="254"/>
  </r>
  <r>
    <x v="255"/>
    <x v="208"/>
    <x v="0"/>
    <x v="0"/>
    <x v="0"/>
    <x v="1"/>
    <x v="2"/>
    <n v="3"/>
    <n v="115982"/>
    <n v="347946"/>
    <x v="255"/>
    <x v="255"/>
    <x v="255"/>
    <x v="255"/>
  </r>
  <r>
    <x v="256"/>
    <x v="85"/>
    <x v="4"/>
    <x v="1"/>
    <x v="4"/>
    <x v="0"/>
    <x v="0"/>
    <n v="1"/>
    <n v="86683"/>
    <n v="86683"/>
    <x v="256"/>
    <x v="256"/>
    <x v="256"/>
    <x v="256"/>
  </r>
  <r>
    <x v="257"/>
    <x v="209"/>
    <x v="4"/>
    <x v="0"/>
    <x v="1"/>
    <x v="4"/>
    <x v="1"/>
    <n v="4"/>
    <n v="164091"/>
    <n v="656364"/>
    <x v="257"/>
    <x v="257"/>
    <x v="257"/>
    <x v="257"/>
  </r>
  <r>
    <x v="258"/>
    <x v="153"/>
    <x v="4"/>
    <x v="1"/>
    <x v="0"/>
    <x v="1"/>
    <x v="2"/>
    <n v="9"/>
    <n v="167797"/>
    <n v="1510173"/>
    <x v="258"/>
    <x v="258"/>
    <x v="258"/>
    <x v="258"/>
  </r>
  <r>
    <x v="259"/>
    <x v="210"/>
    <x v="4"/>
    <x v="1"/>
    <x v="0"/>
    <x v="1"/>
    <x v="1"/>
    <n v="6"/>
    <n v="460834"/>
    <n v="2765004"/>
    <x v="259"/>
    <x v="259"/>
    <x v="259"/>
    <x v="259"/>
  </r>
  <r>
    <x v="260"/>
    <x v="211"/>
    <x v="1"/>
    <x v="0"/>
    <x v="1"/>
    <x v="4"/>
    <x v="1"/>
    <n v="6"/>
    <n v="56587"/>
    <n v="339522"/>
    <x v="260"/>
    <x v="260"/>
    <x v="260"/>
    <x v="260"/>
  </r>
  <r>
    <x v="261"/>
    <x v="212"/>
    <x v="3"/>
    <x v="1"/>
    <x v="0"/>
    <x v="2"/>
    <x v="0"/>
    <n v="1"/>
    <n v="374934"/>
    <n v="374934"/>
    <x v="261"/>
    <x v="261"/>
    <x v="261"/>
    <x v="261"/>
  </r>
  <r>
    <x v="262"/>
    <x v="213"/>
    <x v="0"/>
    <x v="0"/>
    <x v="4"/>
    <x v="1"/>
    <x v="0"/>
    <n v="2"/>
    <n v="343624"/>
    <n v="687248"/>
    <x v="262"/>
    <x v="262"/>
    <x v="262"/>
    <x v="262"/>
  </r>
  <r>
    <x v="263"/>
    <x v="214"/>
    <x v="0"/>
    <x v="1"/>
    <x v="4"/>
    <x v="0"/>
    <x v="1"/>
    <n v="6"/>
    <n v="279602"/>
    <n v="1677612"/>
    <x v="263"/>
    <x v="263"/>
    <x v="263"/>
    <x v="263"/>
  </r>
  <r>
    <x v="264"/>
    <x v="196"/>
    <x v="4"/>
    <x v="0"/>
    <x v="1"/>
    <x v="3"/>
    <x v="2"/>
    <n v="2"/>
    <n v="201599"/>
    <n v="403198"/>
    <x v="264"/>
    <x v="264"/>
    <x v="264"/>
    <x v="264"/>
  </r>
  <r>
    <x v="265"/>
    <x v="53"/>
    <x v="4"/>
    <x v="0"/>
    <x v="2"/>
    <x v="3"/>
    <x v="1"/>
    <n v="3"/>
    <n v="335713"/>
    <n v="1007139"/>
    <x v="265"/>
    <x v="265"/>
    <x v="265"/>
    <x v="265"/>
  </r>
  <r>
    <x v="266"/>
    <x v="215"/>
    <x v="2"/>
    <x v="0"/>
    <x v="3"/>
    <x v="5"/>
    <x v="2"/>
    <n v="4"/>
    <n v="323295"/>
    <n v="1293180"/>
    <x v="266"/>
    <x v="266"/>
    <x v="266"/>
    <x v="266"/>
  </r>
  <r>
    <x v="267"/>
    <x v="216"/>
    <x v="3"/>
    <x v="0"/>
    <x v="2"/>
    <x v="5"/>
    <x v="2"/>
    <n v="5"/>
    <n v="240246"/>
    <n v="1201230"/>
    <x v="267"/>
    <x v="267"/>
    <x v="267"/>
    <x v="267"/>
  </r>
  <r>
    <x v="268"/>
    <x v="65"/>
    <x v="1"/>
    <x v="1"/>
    <x v="0"/>
    <x v="3"/>
    <x v="0"/>
    <n v="9"/>
    <n v="94739"/>
    <n v="852651"/>
    <x v="268"/>
    <x v="268"/>
    <x v="268"/>
    <x v="268"/>
  </r>
  <r>
    <x v="269"/>
    <x v="217"/>
    <x v="0"/>
    <x v="1"/>
    <x v="3"/>
    <x v="3"/>
    <x v="2"/>
    <n v="4"/>
    <n v="82954"/>
    <n v="331816"/>
    <x v="269"/>
    <x v="269"/>
    <x v="269"/>
    <x v="269"/>
  </r>
  <r>
    <x v="270"/>
    <x v="218"/>
    <x v="2"/>
    <x v="0"/>
    <x v="1"/>
    <x v="0"/>
    <x v="2"/>
    <n v="9"/>
    <n v="293935"/>
    <n v="2645415"/>
    <x v="270"/>
    <x v="270"/>
    <x v="270"/>
    <x v="270"/>
  </r>
  <r>
    <x v="271"/>
    <x v="219"/>
    <x v="2"/>
    <x v="0"/>
    <x v="1"/>
    <x v="4"/>
    <x v="1"/>
    <n v="3"/>
    <n v="159373"/>
    <n v="478119"/>
    <x v="271"/>
    <x v="271"/>
    <x v="271"/>
    <x v="271"/>
  </r>
  <r>
    <x v="272"/>
    <x v="220"/>
    <x v="0"/>
    <x v="0"/>
    <x v="3"/>
    <x v="5"/>
    <x v="0"/>
    <n v="8"/>
    <n v="478519"/>
    <n v="3828152"/>
    <x v="272"/>
    <x v="272"/>
    <x v="272"/>
    <x v="272"/>
  </r>
  <r>
    <x v="273"/>
    <x v="221"/>
    <x v="1"/>
    <x v="1"/>
    <x v="4"/>
    <x v="4"/>
    <x v="2"/>
    <n v="1"/>
    <n v="84700"/>
    <n v="84700"/>
    <x v="273"/>
    <x v="273"/>
    <x v="273"/>
    <x v="273"/>
  </r>
  <r>
    <x v="274"/>
    <x v="142"/>
    <x v="2"/>
    <x v="1"/>
    <x v="3"/>
    <x v="0"/>
    <x v="2"/>
    <n v="9"/>
    <n v="173728"/>
    <n v="1563552"/>
    <x v="274"/>
    <x v="274"/>
    <x v="274"/>
    <x v="274"/>
  </r>
  <r>
    <x v="275"/>
    <x v="222"/>
    <x v="2"/>
    <x v="1"/>
    <x v="0"/>
    <x v="3"/>
    <x v="0"/>
    <n v="9"/>
    <n v="378932"/>
    <n v="3410388"/>
    <x v="275"/>
    <x v="275"/>
    <x v="275"/>
    <x v="275"/>
  </r>
  <r>
    <x v="276"/>
    <x v="171"/>
    <x v="3"/>
    <x v="1"/>
    <x v="4"/>
    <x v="1"/>
    <x v="1"/>
    <n v="2"/>
    <n v="121045"/>
    <n v="242090"/>
    <x v="276"/>
    <x v="276"/>
    <x v="276"/>
    <x v="276"/>
  </r>
  <r>
    <x v="277"/>
    <x v="119"/>
    <x v="1"/>
    <x v="0"/>
    <x v="1"/>
    <x v="4"/>
    <x v="0"/>
    <n v="4"/>
    <n v="481058"/>
    <n v="1924232"/>
    <x v="277"/>
    <x v="277"/>
    <x v="277"/>
    <x v="277"/>
  </r>
  <r>
    <x v="278"/>
    <x v="223"/>
    <x v="2"/>
    <x v="0"/>
    <x v="3"/>
    <x v="3"/>
    <x v="0"/>
    <n v="8"/>
    <n v="194972"/>
    <n v="1559776"/>
    <x v="278"/>
    <x v="278"/>
    <x v="278"/>
    <x v="278"/>
  </r>
  <r>
    <x v="279"/>
    <x v="224"/>
    <x v="1"/>
    <x v="0"/>
    <x v="2"/>
    <x v="3"/>
    <x v="2"/>
    <n v="7"/>
    <n v="440136"/>
    <n v="3080952"/>
    <x v="279"/>
    <x v="279"/>
    <x v="279"/>
    <x v="279"/>
  </r>
  <r>
    <x v="280"/>
    <x v="17"/>
    <x v="0"/>
    <x v="1"/>
    <x v="2"/>
    <x v="2"/>
    <x v="2"/>
    <n v="1"/>
    <n v="392203"/>
    <n v="392203"/>
    <x v="280"/>
    <x v="280"/>
    <x v="280"/>
    <x v="280"/>
  </r>
  <r>
    <x v="281"/>
    <x v="225"/>
    <x v="4"/>
    <x v="1"/>
    <x v="0"/>
    <x v="4"/>
    <x v="1"/>
    <n v="5"/>
    <n v="51881"/>
    <n v="259405"/>
    <x v="281"/>
    <x v="281"/>
    <x v="281"/>
    <x v="281"/>
  </r>
  <r>
    <x v="282"/>
    <x v="226"/>
    <x v="2"/>
    <x v="1"/>
    <x v="2"/>
    <x v="1"/>
    <x v="2"/>
    <n v="7"/>
    <n v="476253"/>
    <n v="3333771"/>
    <x v="282"/>
    <x v="282"/>
    <x v="282"/>
    <x v="282"/>
  </r>
  <r>
    <x v="283"/>
    <x v="227"/>
    <x v="3"/>
    <x v="0"/>
    <x v="3"/>
    <x v="4"/>
    <x v="2"/>
    <n v="4"/>
    <n v="444846"/>
    <n v="1779384"/>
    <x v="283"/>
    <x v="283"/>
    <x v="283"/>
    <x v="283"/>
  </r>
  <r>
    <x v="284"/>
    <x v="228"/>
    <x v="0"/>
    <x v="0"/>
    <x v="3"/>
    <x v="3"/>
    <x v="0"/>
    <n v="1"/>
    <n v="332933"/>
    <n v="332933"/>
    <x v="284"/>
    <x v="284"/>
    <x v="284"/>
    <x v="284"/>
  </r>
  <r>
    <x v="285"/>
    <x v="229"/>
    <x v="1"/>
    <x v="1"/>
    <x v="2"/>
    <x v="1"/>
    <x v="2"/>
    <n v="9"/>
    <n v="438227"/>
    <n v="3944043"/>
    <x v="285"/>
    <x v="285"/>
    <x v="285"/>
    <x v="285"/>
  </r>
  <r>
    <x v="286"/>
    <x v="159"/>
    <x v="0"/>
    <x v="0"/>
    <x v="3"/>
    <x v="0"/>
    <x v="1"/>
    <n v="5"/>
    <n v="138059"/>
    <n v="690295"/>
    <x v="286"/>
    <x v="286"/>
    <x v="286"/>
    <x v="286"/>
  </r>
  <r>
    <x v="287"/>
    <x v="230"/>
    <x v="2"/>
    <x v="1"/>
    <x v="0"/>
    <x v="2"/>
    <x v="0"/>
    <n v="2"/>
    <n v="264566"/>
    <n v="529132"/>
    <x v="287"/>
    <x v="287"/>
    <x v="287"/>
    <x v="287"/>
  </r>
  <r>
    <x v="288"/>
    <x v="179"/>
    <x v="1"/>
    <x v="1"/>
    <x v="4"/>
    <x v="3"/>
    <x v="1"/>
    <n v="8"/>
    <n v="358295"/>
    <n v="2866360"/>
    <x v="288"/>
    <x v="288"/>
    <x v="288"/>
    <x v="288"/>
  </r>
  <r>
    <x v="289"/>
    <x v="231"/>
    <x v="4"/>
    <x v="0"/>
    <x v="0"/>
    <x v="5"/>
    <x v="0"/>
    <n v="2"/>
    <n v="492136"/>
    <n v="984272"/>
    <x v="289"/>
    <x v="289"/>
    <x v="289"/>
    <x v="289"/>
  </r>
  <r>
    <x v="290"/>
    <x v="232"/>
    <x v="0"/>
    <x v="1"/>
    <x v="0"/>
    <x v="5"/>
    <x v="2"/>
    <n v="3"/>
    <n v="159388"/>
    <n v="478164"/>
    <x v="290"/>
    <x v="290"/>
    <x v="290"/>
    <x v="290"/>
  </r>
  <r>
    <x v="291"/>
    <x v="233"/>
    <x v="2"/>
    <x v="0"/>
    <x v="3"/>
    <x v="2"/>
    <x v="0"/>
    <n v="1"/>
    <n v="248303"/>
    <n v="248303"/>
    <x v="291"/>
    <x v="291"/>
    <x v="291"/>
    <x v="291"/>
  </r>
  <r>
    <x v="292"/>
    <x v="218"/>
    <x v="3"/>
    <x v="1"/>
    <x v="4"/>
    <x v="0"/>
    <x v="0"/>
    <n v="2"/>
    <n v="315406"/>
    <n v="630812"/>
    <x v="292"/>
    <x v="292"/>
    <x v="292"/>
    <x v="292"/>
  </r>
  <r>
    <x v="293"/>
    <x v="234"/>
    <x v="1"/>
    <x v="0"/>
    <x v="3"/>
    <x v="3"/>
    <x v="2"/>
    <n v="7"/>
    <n v="379125"/>
    <n v="2653875"/>
    <x v="293"/>
    <x v="293"/>
    <x v="293"/>
    <x v="293"/>
  </r>
  <r>
    <x v="294"/>
    <x v="235"/>
    <x v="0"/>
    <x v="0"/>
    <x v="1"/>
    <x v="4"/>
    <x v="2"/>
    <n v="2"/>
    <n v="433095"/>
    <n v="866190"/>
    <x v="294"/>
    <x v="294"/>
    <x v="294"/>
    <x v="294"/>
  </r>
  <r>
    <x v="295"/>
    <x v="177"/>
    <x v="0"/>
    <x v="0"/>
    <x v="3"/>
    <x v="2"/>
    <x v="1"/>
    <n v="6"/>
    <n v="435243"/>
    <n v="2611458"/>
    <x v="295"/>
    <x v="295"/>
    <x v="295"/>
    <x v="295"/>
  </r>
  <r>
    <x v="296"/>
    <x v="153"/>
    <x v="4"/>
    <x v="1"/>
    <x v="3"/>
    <x v="0"/>
    <x v="1"/>
    <n v="3"/>
    <n v="131972"/>
    <n v="395916"/>
    <x v="296"/>
    <x v="296"/>
    <x v="296"/>
    <x v="296"/>
  </r>
  <r>
    <x v="297"/>
    <x v="119"/>
    <x v="4"/>
    <x v="1"/>
    <x v="3"/>
    <x v="4"/>
    <x v="2"/>
    <n v="4"/>
    <n v="387629"/>
    <n v="1550516"/>
    <x v="297"/>
    <x v="297"/>
    <x v="297"/>
    <x v="297"/>
  </r>
  <r>
    <x v="298"/>
    <x v="236"/>
    <x v="3"/>
    <x v="0"/>
    <x v="4"/>
    <x v="5"/>
    <x v="2"/>
    <n v="8"/>
    <n v="104722"/>
    <n v="837776"/>
    <x v="298"/>
    <x v="298"/>
    <x v="298"/>
    <x v="298"/>
  </r>
  <r>
    <x v="299"/>
    <x v="85"/>
    <x v="3"/>
    <x v="0"/>
    <x v="3"/>
    <x v="5"/>
    <x v="2"/>
    <n v="3"/>
    <n v="401643"/>
    <n v="1204929"/>
    <x v="299"/>
    <x v="299"/>
    <x v="299"/>
    <x v="299"/>
  </r>
  <r>
    <x v="300"/>
    <x v="237"/>
    <x v="2"/>
    <x v="1"/>
    <x v="4"/>
    <x v="4"/>
    <x v="0"/>
    <n v="6"/>
    <n v="231890"/>
    <n v="1391340"/>
    <x v="300"/>
    <x v="300"/>
    <x v="300"/>
    <x v="300"/>
  </r>
  <r>
    <x v="301"/>
    <x v="238"/>
    <x v="2"/>
    <x v="1"/>
    <x v="2"/>
    <x v="2"/>
    <x v="0"/>
    <n v="1"/>
    <n v="473148"/>
    <n v="473148"/>
    <x v="301"/>
    <x v="301"/>
    <x v="301"/>
    <x v="301"/>
  </r>
  <r>
    <x v="302"/>
    <x v="84"/>
    <x v="3"/>
    <x v="1"/>
    <x v="1"/>
    <x v="5"/>
    <x v="0"/>
    <n v="7"/>
    <n v="319045"/>
    <n v="2233315"/>
    <x v="302"/>
    <x v="302"/>
    <x v="302"/>
    <x v="302"/>
  </r>
  <r>
    <x v="303"/>
    <x v="239"/>
    <x v="3"/>
    <x v="0"/>
    <x v="4"/>
    <x v="3"/>
    <x v="2"/>
    <n v="8"/>
    <n v="167473"/>
    <n v="1339784"/>
    <x v="303"/>
    <x v="303"/>
    <x v="303"/>
    <x v="303"/>
  </r>
  <r>
    <x v="304"/>
    <x v="26"/>
    <x v="1"/>
    <x v="1"/>
    <x v="2"/>
    <x v="1"/>
    <x v="1"/>
    <n v="8"/>
    <n v="320741"/>
    <n v="2565928"/>
    <x v="304"/>
    <x v="304"/>
    <x v="304"/>
    <x v="304"/>
  </r>
  <r>
    <x v="305"/>
    <x v="240"/>
    <x v="4"/>
    <x v="1"/>
    <x v="4"/>
    <x v="4"/>
    <x v="2"/>
    <n v="3"/>
    <n v="441775"/>
    <n v="1325325"/>
    <x v="305"/>
    <x v="305"/>
    <x v="305"/>
    <x v="305"/>
  </r>
  <r>
    <x v="306"/>
    <x v="127"/>
    <x v="2"/>
    <x v="0"/>
    <x v="4"/>
    <x v="4"/>
    <x v="0"/>
    <n v="1"/>
    <n v="376053"/>
    <n v="376053"/>
    <x v="306"/>
    <x v="306"/>
    <x v="306"/>
    <x v="306"/>
  </r>
  <r>
    <x v="307"/>
    <x v="25"/>
    <x v="4"/>
    <x v="1"/>
    <x v="1"/>
    <x v="5"/>
    <x v="0"/>
    <n v="9"/>
    <n v="384535"/>
    <n v="3460815"/>
    <x v="307"/>
    <x v="307"/>
    <x v="307"/>
    <x v="307"/>
  </r>
  <r>
    <x v="308"/>
    <x v="241"/>
    <x v="4"/>
    <x v="1"/>
    <x v="0"/>
    <x v="2"/>
    <x v="2"/>
    <n v="6"/>
    <n v="265286"/>
    <n v="1591716"/>
    <x v="308"/>
    <x v="308"/>
    <x v="308"/>
    <x v="308"/>
  </r>
  <r>
    <x v="309"/>
    <x v="103"/>
    <x v="3"/>
    <x v="1"/>
    <x v="0"/>
    <x v="3"/>
    <x v="2"/>
    <n v="9"/>
    <n v="451479"/>
    <n v="4063311"/>
    <x v="309"/>
    <x v="309"/>
    <x v="309"/>
    <x v="309"/>
  </r>
  <r>
    <x v="310"/>
    <x v="111"/>
    <x v="1"/>
    <x v="0"/>
    <x v="4"/>
    <x v="2"/>
    <x v="0"/>
    <n v="7"/>
    <n v="375437"/>
    <n v="2628059"/>
    <x v="310"/>
    <x v="310"/>
    <x v="310"/>
    <x v="310"/>
  </r>
  <r>
    <x v="311"/>
    <x v="242"/>
    <x v="0"/>
    <x v="0"/>
    <x v="3"/>
    <x v="0"/>
    <x v="0"/>
    <n v="1"/>
    <n v="293896"/>
    <n v="293896"/>
    <x v="311"/>
    <x v="311"/>
    <x v="311"/>
    <x v="311"/>
  </r>
  <r>
    <x v="312"/>
    <x v="191"/>
    <x v="1"/>
    <x v="0"/>
    <x v="2"/>
    <x v="0"/>
    <x v="0"/>
    <n v="1"/>
    <n v="206877"/>
    <n v="206877"/>
    <x v="312"/>
    <x v="312"/>
    <x v="312"/>
    <x v="312"/>
  </r>
  <r>
    <x v="313"/>
    <x v="150"/>
    <x v="1"/>
    <x v="0"/>
    <x v="3"/>
    <x v="1"/>
    <x v="2"/>
    <n v="6"/>
    <n v="61874"/>
    <n v="371244"/>
    <x v="313"/>
    <x v="313"/>
    <x v="313"/>
    <x v="313"/>
  </r>
  <r>
    <x v="314"/>
    <x v="113"/>
    <x v="4"/>
    <x v="0"/>
    <x v="3"/>
    <x v="5"/>
    <x v="0"/>
    <n v="5"/>
    <n v="274137"/>
    <n v="1370685"/>
    <x v="314"/>
    <x v="314"/>
    <x v="314"/>
    <x v="314"/>
  </r>
  <r>
    <x v="315"/>
    <x v="243"/>
    <x v="1"/>
    <x v="0"/>
    <x v="4"/>
    <x v="5"/>
    <x v="0"/>
    <n v="9"/>
    <n v="398546"/>
    <n v="3586914"/>
    <x v="315"/>
    <x v="315"/>
    <x v="315"/>
    <x v="315"/>
  </r>
  <r>
    <x v="316"/>
    <x v="27"/>
    <x v="2"/>
    <x v="0"/>
    <x v="4"/>
    <x v="5"/>
    <x v="1"/>
    <n v="2"/>
    <n v="326223"/>
    <n v="652446"/>
    <x v="316"/>
    <x v="316"/>
    <x v="316"/>
    <x v="316"/>
  </r>
  <r>
    <x v="317"/>
    <x v="244"/>
    <x v="4"/>
    <x v="1"/>
    <x v="4"/>
    <x v="1"/>
    <x v="2"/>
    <n v="8"/>
    <n v="493066"/>
    <n v="3944528"/>
    <x v="317"/>
    <x v="317"/>
    <x v="317"/>
    <x v="317"/>
  </r>
  <r>
    <x v="318"/>
    <x v="245"/>
    <x v="2"/>
    <x v="1"/>
    <x v="4"/>
    <x v="0"/>
    <x v="1"/>
    <n v="5"/>
    <n v="384923"/>
    <n v="1924615"/>
    <x v="318"/>
    <x v="318"/>
    <x v="318"/>
    <x v="318"/>
  </r>
  <r>
    <x v="319"/>
    <x v="29"/>
    <x v="0"/>
    <x v="0"/>
    <x v="0"/>
    <x v="2"/>
    <x v="1"/>
    <n v="2"/>
    <n v="145408"/>
    <n v="290816"/>
    <x v="319"/>
    <x v="319"/>
    <x v="319"/>
    <x v="319"/>
  </r>
  <r>
    <x v="320"/>
    <x v="246"/>
    <x v="4"/>
    <x v="1"/>
    <x v="4"/>
    <x v="1"/>
    <x v="0"/>
    <n v="6"/>
    <n v="452234"/>
    <n v="2713404"/>
    <x v="320"/>
    <x v="320"/>
    <x v="320"/>
    <x v="320"/>
  </r>
  <r>
    <x v="321"/>
    <x v="247"/>
    <x v="0"/>
    <x v="1"/>
    <x v="0"/>
    <x v="1"/>
    <x v="2"/>
    <n v="8"/>
    <n v="170606"/>
    <n v="1364848"/>
    <x v="321"/>
    <x v="321"/>
    <x v="321"/>
    <x v="321"/>
  </r>
  <r>
    <x v="322"/>
    <x v="248"/>
    <x v="4"/>
    <x v="0"/>
    <x v="0"/>
    <x v="2"/>
    <x v="0"/>
    <n v="4"/>
    <n v="492716"/>
    <n v="1970864"/>
    <x v="322"/>
    <x v="322"/>
    <x v="322"/>
    <x v="322"/>
  </r>
  <r>
    <x v="323"/>
    <x v="249"/>
    <x v="3"/>
    <x v="1"/>
    <x v="4"/>
    <x v="5"/>
    <x v="2"/>
    <n v="2"/>
    <n v="170062"/>
    <n v="340124"/>
    <x v="323"/>
    <x v="323"/>
    <x v="323"/>
    <x v="323"/>
  </r>
  <r>
    <x v="324"/>
    <x v="40"/>
    <x v="1"/>
    <x v="1"/>
    <x v="1"/>
    <x v="3"/>
    <x v="1"/>
    <n v="5"/>
    <n v="62100"/>
    <n v="310500"/>
    <x v="324"/>
    <x v="324"/>
    <x v="324"/>
    <x v="324"/>
  </r>
  <r>
    <x v="325"/>
    <x v="250"/>
    <x v="3"/>
    <x v="1"/>
    <x v="2"/>
    <x v="2"/>
    <x v="2"/>
    <n v="2"/>
    <n v="369165"/>
    <n v="738330"/>
    <x v="325"/>
    <x v="325"/>
    <x v="325"/>
    <x v="325"/>
  </r>
  <r>
    <x v="326"/>
    <x v="157"/>
    <x v="0"/>
    <x v="1"/>
    <x v="3"/>
    <x v="0"/>
    <x v="0"/>
    <n v="2"/>
    <n v="200872"/>
    <n v="401744"/>
    <x v="326"/>
    <x v="326"/>
    <x v="326"/>
    <x v="326"/>
  </r>
  <r>
    <x v="327"/>
    <x v="251"/>
    <x v="1"/>
    <x v="1"/>
    <x v="0"/>
    <x v="4"/>
    <x v="0"/>
    <n v="6"/>
    <n v="440270"/>
    <n v="2641620"/>
    <x v="327"/>
    <x v="327"/>
    <x v="327"/>
    <x v="327"/>
  </r>
  <r>
    <x v="328"/>
    <x v="252"/>
    <x v="4"/>
    <x v="0"/>
    <x v="2"/>
    <x v="4"/>
    <x v="0"/>
    <n v="9"/>
    <n v="244472"/>
    <n v="2200248"/>
    <x v="328"/>
    <x v="328"/>
    <x v="328"/>
    <x v="328"/>
  </r>
  <r>
    <x v="329"/>
    <x v="25"/>
    <x v="1"/>
    <x v="0"/>
    <x v="1"/>
    <x v="1"/>
    <x v="2"/>
    <n v="4"/>
    <n v="404590"/>
    <n v="1618360"/>
    <x v="329"/>
    <x v="329"/>
    <x v="329"/>
    <x v="329"/>
  </r>
  <r>
    <x v="330"/>
    <x v="197"/>
    <x v="2"/>
    <x v="0"/>
    <x v="3"/>
    <x v="4"/>
    <x v="1"/>
    <n v="6"/>
    <n v="341581"/>
    <n v="2049486"/>
    <x v="330"/>
    <x v="330"/>
    <x v="330"/>
    <x v="330"/>
  </r>
  <r>
    <x v="331"/>
    <x v="253"/>
    <x v="1"/>
    <x v="1"/>
    <x v="3"/>
    <x v="3"/>
    <x v="1"/>
    <n v="7"/>
    <n v="284196"/>
    <n v="1989372"/>
    <x v="331"/>
    <x v="331"/>
    <x v="331"/>
    <x v="331"/>
  </r>
  <r>
    <x v="332"/>
    <x v="254"/>
    <x v="2"/>
    <x v="0"/>
    <x v="0"/>
    <x v="5"/>
    <x v="2"/>
    <n v="6"/>
    <n v="257609"/>
    <n v="1545654"/>
    <x v="332"/>
    <x v="332"/>
    <x v="332"/>
    <x v="332"/>
  </r>
  <r>
    <x v="333"/>
    <x v="220"/>
    <x v="1"/>
    <x v="1"/>
    <x v="4"/>
    <x v="0"/>
    <x v="0"/>
    <n v="8"/>
    <n v="489891"/>
    <n v="3919128"/>
    <x v="333"/>
    <x v="333"/>
    <x v="333"/>
    <x v="333"/>
  </r>
  <r>
    <x v="334"/>
    <x v="223"/>
    <x v="2"/>
    <x v="1"/>
    <x v="1"/>
    <x v="3"/>
    <x v="1"/>
    <n v="4"/>
    <n v="201014"/>
    <n v="804056"/>
    <x v="334"/>
    <x v="334"/>
    <x v="334"/>
    <x v="334"/>
  </r>
  <r>
    <x v="335"/>
    <x v="255"/>
    <x v="0"/>
    <x v="1"/>
    <x v="0"/>
    <x v="0"/>
    <x v="0"/>
    <n v="1"/>
    <n v="333006"/>
    <n v="333006"/>
    <x v="335"/>
    <x v="335"/>
    <x v="335"/>
    <x v="335"/>
  </r>
  <r>
    <x v="336"/>
    <x v="122"/>
    <x v="3"/>
    <x v="1"/>
    <x v="1"/>
    <x v="0"/>
    <x v="2"/>
    <n v="7"/>
    <n v="323813"/>
    <n v="2266691"/>
    <x v="336"/>
    <x v="336"/>
    <x v="336"/>
    <x v="336"/>
  </r>
  <r>
    <x v="337"/>
    <x v="24"/>
    <x v="4"/>
    <x v="0"/>
    <x v="4"/>
    <x v="5"/>
    <x v="0"/>
    <n v="3"/>
    <n v="433363"/>
    <n v="1300089"/>
    <x v="337"/>
    <x v="337"/>
    <x v="337"/>
    <x v="337"/>
  </r>
  <r>
    <x v="338"/>
    <x v="256"/>
    <x v="1"/>
    <x v="0"/>
    <x v="4"/>
    <x v="1"/>
    <x v="1"/>
    <n v="6"/>
    <n v="234844"/>
    <n v="1409064"/>
    <x v="338"/>
    <x v="338"/>
    <x v="338"/>
    <x v="338"/>
  </r>
  <r>
    <x v="339"/>
    <x v="257"/>
    <x v="3"/>
    <x v="1"/>
    <x v="0"/>
    <x v="4"/>
    <x v="1"/>
    <n v="2"/>
    <n v="328060"/>
    <n v="656120"/>
    <x v="339"/>
    <x v="339"/>
    <x v="339"/>
    <x v="339"/>
  </r>
  <r>
    <x v="340"/>
    <x v="258"/>
    <x v="4"/>
    <x v="0"/>
    <x v="4"/>
    <x v="5"/>
    <x v="0"/>
    <n v="9"/>
    <n v="323022"/>
    <n v="2907198"/>
    <x v="340"/>
    <x v="340"/>
    <x v="340"/>
    <x v="340"/>
  </r>
  <r>
    <x v="341"/>
    <x v="259"/>
    <x v="4"/>
    <x v="1"/>
    <x v="2"/>
    <x v="3"/>
    <x v="2"/>
    <n v="1"/>
    <n v="315129"/>
    <n v="315129"/>
    <x v="341"/>
    <x v="341"/>
    <x v="341"/>
    <x v="341"/>
  </r>
  <r>
    <x v="342"/>
    <x v="181"/>
    <x v="2"/>
    <x v="0"/>
    <x v="3"/>
    <x v="1"/>
    <x v="0"/>
    <n v="6"/>
    <n v="254720"/>
    <n v="1528320"/>
    <x v="342"/>
    <x v="342"/>
    <x v="342"/>
    <x v="342"/>
  </r>
  <r>
    <x v="343"/>
    <x v="260"/>
    <x v="0"/>
    <x v="0"/>
    <x v="0"/>
    <x v="3"/>
    <x v="2"/>
    <n v="6"/>
    <n v="91235"/>
    <n v="547410"/>
    <x v="343"/>
    <x v="343"/>
    <x v="343"/>
    <x v="343"/>
  </r>
  <r>
    <x v="344"/>
    <x v="69"/>
    <x v="0"/>
    <x v="1"/>
    <x v="1"/>
    <x v="1"/>
    <x v="0"/>
    <n v="5"/>
    <n v="331075"/>
    <n v="1655375"/>
    <x v="344"/>
    <x v="344"/>
    <x v="344"/>
    <x v="344"/>
  </r>
  <r>
    <x v="345"/>
    <x v="261"/>
    <x v="3"/>
    <x v="0"/>
    <x v="2"/>
    <x v="3"/>
    <x v="1"/>
    <n v="5"/>
    <n v="142876"/>
    <n v="714380"/>
    <x v="345"/>
    <x v="345"/>
    <x v="345"/>
    <x v="345"/>
  </r>
  <r>
    <x v="346"/>
    <x v="14"/>
    <x v="0"/>
    <x v="1"/>
    <x v="0"/>
    <x v="5"/>
    <x v="2"/>
    <n v="1"/>
    <n v="50336"/>
    <n v="50336"/>
    <x v="346"/>
    <x v="346"/>
    <x v="346"/>
    <x v="346"/>
  </r>
  <r>
    <x v="347"/>
    <x v="262"/>
    <x v="1"/>
    <x v="0"/>
    <x v="4"/>
    <x v="1"/>
    <x v="2"/>
    <n v="5"/>
    <n v="355077"/>
    <n v="1775385"/>
    <x v="347"/>
    <x v="347"/>
    <x v="347"/>
    <x v="347"/>
  </r>
  <r>
    <x v="348"/>
    <x v="119"/>
    <x v="0"/>
    <x v="1"/>
    <x v="4"/>
    <x v="1"/>
    <x v="2"/>
    <n v="2"/>
    <n v="357680"/>
    <n v="715360"/>
    <x v="348"/>
    <x v="348"/>
    <x v="348"/>
    <x v="348"/>
  </r>
  <r>
    <x v="349"/>
    <x v="221"/>
    <x v="3"/>
    <x v="1"/>
    <x v="4"/>
    <x v="0"/>
    <x v="1"/>
    <n v="7"/>
    <n v="119504"/>
    <n v="836528"/>
    <x v="349"/>
    <x v="349"/>
    <x v="349"/>
    <x v="349"/>
  </r>
  <r>
    <x v="350"/>
    <x v="193"/>
    <x v="0"/>
    <x v="0"/>
    <x v="4"/>
    <x v="0"/>
    <x v="0"/>
    <n v="3"/>
    <n v="149214"/>
    <n v="447642"/>
    <x v="350"/>
    <x v="350"/>
    <x v="350"/>
    <x v="350"/>
  </r>
  <r>
    <x v="351"/>
    <x v="202"/>
    <x v="1"/>
    <x v="0"/>
    <x v="1"/>
    <x v="2"/>
    <x v="1"/>
    <n v="4"/>
    <n v="232220"/>
    <n v="928880"/>
    <x v="351"/>
    <x v="351"/>
    <x v="351"/>
    <x v="351"/>
  </r>
  <r>
    <x v="352"/>
    <x v="174"/>
    <x v="2"/>
    <x v="1"/>
    <x v="2"/>
    <x v="3"/>
    <x v="2"/>
    <n v="3"/>
    <n v="163936"/>
    <n v="491808"/>
    <x v="352"/>
    <x v="352"/>
    <x v="352"/>
    <x v="352"/>
  </r>
  <r>
    <x v="353"/>
    <x v="263"/>
    <x v="3"/>
    <x v="0"/>
    <x v="3"/>
    <x v="0"/>
    <x v="0"/>
    <n v="3"/>
    <n v="66279"/>
    <n v="198837"/>
    <x v="353"/>
    <x v="353"/>
    <x v="353"/>
    <x v="353"/>
  </r>
  <r>
    <x v="354"/>
    <x v="264"/>
    <x v="2"/>
    <x v="0"/>
    <x v="1"/>
    <x v="2"/>
    <x v="1"/>
    <n v="4"/>
    <n v="249737"/>
    <n v="998948"/>
    <x v="354"/>
    <x v="354"/>
    <x v="354"/>
    <x v="354"/>
  </r>
  <r>
    <x v="355"/>
    <x v="265"/>
    <x v="2"/>
    <x v="1"/>
    <x v="1"/>
    <x v="0"/>
    <x v="2"/>
    <n v="5"/>
    <n v="153751"/>
    <n v="768755"/>
    <x v="355"/>
    <x v="355"/>
    <x v="355"/>
    <x v="355"/>
  </r>
  <r>
    <x v="356"/>
    <x v="119"/>
    <x v="2"/>
    <x v="1"/>
    <x v="3"/>
    <x v="3"/>
    <x v="2"/>
    <n v="1"/>
    <n v="416577"/>
    <n v="416577"/>
    <x v="356"/>
    <x v="356"/>
    <x v="356"/>
    <x v="356"/>
  </r>
  <r>
    <x v="357"/>
    <x v="37"/>
    <x v="4"/>
    <x v="0"/>
    <x v="3"/>
    <x v="1"/>
    <x v="1"/>
    <n v="4"/>
    <n v="121386"/>
    <n v="485544"/>
    <x v="357"/>
    <x v="357"/>
    <x v="357"/>
    <x v="357"/>
  </r>
  <r>
    <x v="358"/>
    <x v="266"/>
    <x v="4"/>
    <x v="1"/>
    <x v="4"/>
    <x v="4"/>
    <x v="1"/>
    <n v="8"/>
    <n v="136124"/>
    <n v="1088992"/>
    <x v="358"/>
    <x v="358"/>
    <x v="358"/>
    <x v="358"/>
  </r>
  <r>
    <x v="359"/>
    <x v="267"/>
    <x v="2"/>
    <x v="1"/>
    <x v="1"/>
    <x v="3"/>
    <x v="1"/>
    <n v="7"/>
    <n v="417894"/>
    <n v="2925258"/>
    <x v="359"/>
    <x v="359"/>
    <x v="359"/>
    <x v="359"/>
  </r>
  <r>
    <x v="360"/>
    <x v="30"/>
    <x v="3"/>
    <x v="1"/>
    <x v="0"/>
    <x v="5"/>
    <x v="2"/>
    <n v="9"/>
    <n v="389629"/>
    <n v="3506661"/>
    <x v="360"/>
    <x v="360"/>
    <x v="360"/>
    <x v="360"/>
  </r>
  <r>
    <x v="361"/>
    <x v="26"/>
    <x v="1"/>
    <x v="0"/>
    <x v="3"/>
    <x v="0"/>
    <x v="1"/>
    <n v="5"/>
    <n v="386199"/>
    <n v="1930995"/>
    <x v="361"/>
    <x v="361"/>
    <x v="361"/>
    <x v="361"/>
  </r>
  <r>
    <x v="362"/>
    <x v="268"/>
    <x v="1"/>
    <x v="0"/>
    <x v="3"/>
    <x v="0"/>
    <x v="2"/>
    <n v="4"/>
    <n v="141911"/>
    <n v="567644"/>
    <x v="362"/>
    <x v="362"/>
    <x v="362"/>
    <x v="362"/>
  </r>
  <r>
    <x v="363"/>
    <x v="269"/>
    <x v="0"/>
    <x v="1"/>
    <x v="2"/>
    <x v="1"/>
    <x v="1"/>
    <n v="8"/>
    <n v="410762"/>
    <n v="3286096"/>
    <x v="363"/>
    <x v="363"/>
    <x v="363"/>
    <x v="363"/>
  </r>
  <r>
    <x v="364"/>
    <x v="270"/>
    <x v="3"/>
    <x v="0"/>
    <x v="0"/>
    <x v="5"/>
    <x v="2"/>
    <n v="9"/>
    <n v="247742"/>
    <n v="2229678"/>
    <x v="364"/>
    <x v="364"/>
    <x v="364"/>
    <x v="364"/>
  </r>
  <r>
    <x v="365"/>
    <x v="271"/>
    <x v="4"/>
    <x v="1"/>
    <x v="0"/>
    <x v="1"/>
    <x v="2"/>
    <n v="7"/>
    <n v="497244"/>
    <n v="3480708"/>
    <x v="365"/>
    <x v="365"/>
    <x v="365"/>
    <x v="365"/>
  </r>
  <r>
    <x v="366"/>
    <x v="67"/>
    <x v="2"/>
    <x v="0"/>
    <x v="3"/>
    <x v="5"/>
    <x v="0"/>
    <n v="7"/>
    <n v="271094"/>
    <n v="1897658"/>
    <x v="366"/>
    <x v="366"/>
    <x v="366"/>
    <x v="366"/>
  </r>
  <r>
    <x v="367"/>
    <x v="272"/>
    <x v="0"/>
    <x v="1"/>
    <x v="4"/>
    <x v="4"/>
    <x v="1"/>
    <n v="5"/>
    <n v="426036"/>
    <n v="2130180"/>
    <x v="367"/>
    <x v="367"/>
    <x v="367"/>
    <x v="367"/>
  </r>
  <r>
    <x v="368"/>
    <x v="269"/>
    <x v="1"/>
    <x v="1"/>
    <x v="2"/>
    <x v="0"/>
    <x v="1"/>
    <n v="4"/>
    <n v="287723"/>
    <n v="1150892"/>
    <x v="368"/>
    <x v="368"/>
    <x v="368"/>
    <x v="368"/>
  </r>
  <r>
    <x v="369"/>
    <x v="273"/>
    <x v="4"/>
    <x v="0"/>
    <x v="0"/>
    <x v="0"/>
    <x v="2"/>
    <n v="1"/>
    <n v="383272"/>
    <n v="383272"/>
    <x v="369"/>
    <x v="369"/>
    <x v="369"/>
    <x v="369"/>
  </r>
  <r>
    <x v="370"/>
    <x v="274"/>
    <x v="4"/>
    <x v="1"/>
    <x v="3"/>
    <x v="4"/>
    <x v="2"/>
    <n v="7"/>
    <n v="461324"/>
    <n v="3229268"/>
    <x v="370"/>
    <x v="370"/>
    <x v="370"/>
    <x v="370"/>
  </r>
  <r>
    <x v="371"/>
    <x v="275"/>
    <x v="2"/>
    <x v="0"/>
    <x v="0"/>
    <x v="2"/>
    <x v="2"/>
    <n v="1"/>
    <n v="364639"/>
    <n v="364639"/>
    <x v="371"/>
    <x v="371"/>
    <x v="371"/>
    <x v="371"/>
  </r>
  <r>
    <x v="372"/>
    <x v="276"/>
    <x v="1"/>
    <x v="0"/>
    <x v="2"/>
    <x v="1"/>
    <x v="0"/>
    <n v="1"/>
    <n v="132806"/>
    <n v="132806"/>
    <x v="372"/>
    <x v="372"/>
    <x v="372"/>
    <x v="372"/>
  </r>
  <r>
    <x v="373"/>
    <x v="277"/>
    <x v="3"/>
    <x v="1"/>
    <x v="2"/>
    <x v="4"/>
    <x v="0"/>
    <n v="5"/>
    <n v="405329"/>
    <n v="2026645"/>
    <x v="373"/>
    <x v="373"/>
    <x v="373"/>
    <x v="373"/>
  </r>
  <r>
    <x v="374"/>
    <x v="278"/>
    <x v="4"/>
    <x v="1"/>
    <x v="1"/>
    <x v="1"/>
    <x v="2"/>
    <n v="9"/>
    <n v="257605"/>
    <n v="2318445"/>
    <x v="374"/>
    <x v="374"/>
    <x v="374"/>
    <x v="374"/>
  </r>
  <r>
    <x v="375"/>
    <x v="108"/>
    <x v="2"/>
    <x v="0"/>
    <x v="3"/>
    <x v="3"/>
    <x v="1"/>
    <n v="6"/>
    <n v="280097"/>
    <n v="1680582"/>
    <x v="375"/>
    <x v="375"/>
    <x v="375"/>
    <x v="375"/>
  </r>
  <r>
    <x v="376"/>
    <x v="23"/>
    <x v="3"/>
    <x v="1"/>
    <x v="2"/>
    <x v="0"/>
    <x v="1"/>
    <n v="3"/>
    <n v="495725"/>
    <n v="1487175"/>
    <x v="376"/>
    <x v="376"/>
    <x v="376"/>
    <x v="376"/>
  </r>
  <r>
    <x v="377"/>
    <x v="233"/>
    <x v="1"/>
    <x v="1"/>
    <x v="1"/>
    <x v="1"/>
    <x v="0"/>
    <n v="3"/>
    <n v="247478"/>
    <n v="742434"/>
    <x v="377"/>
    <x v="377"/>
    <x v="377"/>
    <x v="377"/>
  </r>
  <r>
    <x v="378"/>
    <x v="128"/>
    <x v="4"/>
    <x v="1"/>
    <x v="1"/>
    <x v="5"/>
    <x v="0"/>
    <n v="7"/>
    <n v="220591"/>
    <n v="1544137"/>
    <x v="378"/>
    <x v="378"/>
    <x v="378"/>
    <x v="378"/>
  </r>
  <r>
    <x v="379"/>
    <x v="279"/>
    <x v="3"/>
    <x v="1"/>
    <x v="0"/>
    <x v="1"/>
    <x v="2"/>
    <n v="6"/>
    <n v="361793"/>
    <n v="2170758"/>
    <x v="379"/>
    <x v="379"/>
    <x v="379"/>
    <x v="379"/>
  </r>
  <r>
    <x v="380"/>
    <x v="280"/>
    <x v="3"/>
    <x v="1"/>
    <x v="0"/>
    <x v="3"/>
    <x v="1"/>
    <n v="9"/>
    <n v="215596"/>
    <n v="1940364"/>
    <x v="380"/>
    <x v="380"/>
    <x v="380"/>
    <x v="380"/>
  </r>
  <r>
    <x v="381"/>
    <x v="281"/>
    <x v="3"/>
    <x v="0"/>
    <x v="1"/>
    <x v="0"/>
    <x v="2"/>
    <n v="6"/>
    <n v="214957"/>
    <n v="1289742"/>
    <x v="381"/>
    <x v="381"/>
    <x v="381"/>
    <x v="381"/>
  </r>
  <r>
    <x v="382"/>
    <x v="69"/>
    <x v="4"/>
    <x v="0"/>
    <x v="0"/>
    <x v="4"/>
    <x v="0"/>
    <n v="5"/>
    <n v="487585"/>
    <n v="2437925"/>
    <x v="382"/>
    <x v="382"/>
    <x v="382"/>
    <x v="382"/>
  </r>
  <r>
    <x v="383"/>
    <x v="35"/>
    <x v="4"/>
    <x v="1"/>
    <x v="2"/>
    <x v="3"/>
    <x v="1"/>
    <n v="7"/>
    <n v="282204"/>
    <n v="1975428"/>
    <x v="383"/>
    <x v="383"/>
    <x v="383"/>
    <x v="383"/>
  </r>
  <r>
    <x v="384"/>
    <x v="282"/>
    <x v="0"/>
    <x v="1"/>
    <x v="4"/>
    <x v="0"/>
    <x v="1"/>
    <n v="1"/>
    <n v="407546"/>
    <n v="407546"/>
    <x v="384"/>
    <x v="384"/>
    <x v="384"/>
    <x v="384"/>
  </r>
  <r>
    <x v="385"/>
    <x v="283"/>
    <x v="1"/>
    <x v="1"/>
    <x v="2"/>
    <x v="1"/>
    <x v="0"/>
    <n v="7"/>
    <n v="342820"/>
    <n v="2399740"/>
    <x v="385"/>
    <x v="385"/>
    <x v="385"/>
    <x v="385"/>
  </r>
  <r>
    <x v="386"/>
    <x v="141"/>
    <x v="2"/>
    <x v="0"/>
    <x v="1"/>
    <x v="2"/>
    <x v="2"/>
    <n v="3"/>
    <n v="376237"/>
    <n v="1128711"/>
    <x v="386"/>
    <x v="386"/>
    <x v="386"/>
    <x v="386"/>
  </r>
  <r>
    <x v="387"/>
    <x v="151"/>
    <x v="3"/>
    <x v="1"/>
    <x v="1"/>
    <x v="2"/>
    <x v="2"/>
    <n v="9"/>
    <n v="490980"/>
    <n v="4418820"/>
    <x v="387"/>
    <x v="387"/>
    <x v="387"/>
    <x v="387"/>
  </r>
  <r>
    <x v="388"/>
    <x v="140"/>
    <x v="0"/>
    <x v="0"/>
    <x v="2"/>
    <x v="5"/>
    <x v="1"/>
    <n v="6"/>
    <n v="231871"/>
    <n v="1391226"/>
    <x v="388"/>
    <x v="388"/>
    <x v="388"/>
    <x v="388"/>
  </r>
  <r>
    <x v="389"/>
    <x v="284"/>
    <x v="2"/>
    <x v="0"/>
    <x v="0"/>
    <x v="0"/>
    <x v="0"/>
    <n v="9"/>
    <n v="391558"/>
    <n v="3524022"/>
    <x v="389"/>
    <x v="389"/>
    <x v="389"/>
    <x v="389"/>
  </r>
  <r>
    <x v="390"/>
    <x v="285"/>
    <x v="0"/>
    <x v="0"/>
    <x v="0"/>
    <x v="2"/>
    <x v="1"/>
    <n v="5"/>
    <n v="405239"/>
    <n v="2026195"/>
    <x v="390"/>
    <x v="390"/>
    <x v="390"/>
    <x v="390"/>
  </r>
  <r>
    <x v="391"/>
    <x v="286"/>
    <x v="4"/>
    <x v="1"/>
    <x v="1"/>
    <x v="4"/>
    <x v="0"/>
    <n v="7"/>
    <n v="293154"/>
    <n v="2052078"/>
    <x v="391"/>
    <x v="391"/>
    <x v="391"/>
    <x v="391"/>
  </r>
  <r>
    <x v="392"/>
    <x v="257"/>
    <x v="3"/>
    <x v="0"/>
    <x v="3"/>
    <x v="0"/>
    <x v="2"/>
    <n v="4"/>
    <n v="122307"/>
    <n v="489228"/>
    <x v="392"/>
    <x v="392"/>
    <x v="392"/>
    <x v="392"/>
  </r>
  <r>
    <x v="393"/>
    <x v="287"/>
    <x v="2"/>
    <x v="1"/>
    <x v="0"/>
    <x v="4"/>
    <x v="0"/>
    <n v="7"/>
    <n v="407576"/>
    <n v="2853032"/>
    <x v="393"/>
    <x v="393"/>
    <x v="393"/>
    <x v="393"/>
  </r>
  <r>
    <x v="394"/>
    <x v="288"/>
    <x v="2"/>
    <x v="0"/>
    <x v="2"/>
    <x v="4"/>
    <x v="2"/>
    <n v="1"/>
    <n v="344067"/>
    <n v="344067"/>
    <x v="394"/>
    <x v="394"/>
    <x v="394"/>
    <x v="394"/>
  </r>
  <r>
    <x v="395"/>
    <x v="289"/>
    <x v="2"/>
    <x v="1"/>
    <x v="0"/>
    <x v="2"/>
    <x v="0"/>
    <n v="7"/>
    <n v="429593"/>
    <n v="3007151"/>
    <x v="395"/>
    <x v="395"/>
    <x v="395"/>
    <x v="395"/>
  </r>
  <r>
    <x v="396"/>
    <x v="290"/>
    <x v="2"/>
    <x v="0"/>
    <x v="2"/>
    <x v="0"/>
    <x v="1"/>
    <n v="8"/>
    <n v="285998"/>
    <n v="2287984"/>
    <x v="396"/>
    <x v="396"/>
    <x v="396"/>
    <x v="396"/>
  </r>
  <r>
    <x v="397"/>
    <x v="56"/>
    <x v="2"/>
    <x v="1"/>
    <x v="1"/>
    <x v="1"/>
    <x v="2"/>
    <n v="5"/>
    <n v="359718"/>
    <n v="1798590"/>
    <x v="397"/>
    <x v="397"/>
    <x v="397"/>
    <x v="397"/>
  </r>
  <r>
    <x v="398"/>
    <x v="291"/>
    <x v="0"/>
    <x v="0"/>
    <x v="0"/>
    <x v="3"/>
    <x v="1"/>
    <n v="2"/>
    <n v="486607"/>
    <n v="973214"/>
    <x v="398"/>
    <x v="398"/>
    <x v="398"/>
    <x v="398"/>
  </r>
  <r>
    <x v="399"/>
    <x v="79"/>
    <x v="3"/>
    <x v="1"/>
    <x v="2"/>
    <x v="2"/>
    <x v="1"/>
    <n v="5"/>
    <n v="171757"/>
    <n v="858785"/>
    <x v="399"/>
    <x v="399"/>
    <x v="399"/>
    <x v="399"/>
  </r>
  <r>
    <x v="400"/>
    <x v="292"/>
    <x v="4"/>
    <x v="1"/>
    <x v="1"/>
    <x v="2"/>
    <x v="2"/>
    <n v="6"/>
    <n v="103664"/>
    <n v="621984"/>
    <x v="400"/>
    <x v="400"/>
    <x v="400"/>
    <x v="400"/>
  </r>
  <r>
    <x v="401"/>
    <x v="293"/>
    <x v="4"/>
    <x v="1"/>
    <x v="3"/>
    <x v="1"/>
    <x v="2"/>
    <n v="2"/>
    <n v="379528"/>
    <n v="759056"/>
    <x v="401"/>
    <x v="401"/>
    <x v="401"/>
    <x v="401"/>
  </r>
  <r>
    <x v="402"/>
    <x v="294"/>
    <x v="4"/>
    <x v="1"/>
    <x v="2"/>
    <x v="0"/>
    <x v="1"/>
    <n v="6"/>
    <n v="343171"/>
    <n v="2059026"/>
    <x v="402"/>
    <x v="402"/>
    <x v="402"/>
    <x v="402"/>
  </r>
  <r>
    <x v="403"/>
    <x v="133"/>
    <x v="4"/>
    <x v="0"/>
    <x v="3"/>
    <x v="0"/>
    <x v="1"/>
    <n v="6"/>
    <n v="216536"/>
    <n v="1299216"/>
    <x v="403"/>
    <x v="403"/>
    <x v="403"/>
    <x v="403"/>
  </r>
  <r>
    <x v="404"/>
    <x v="38"/>
    <x v="0"/>
    <x v="0"/>
    <x v="3"/>
    <x v="4"/>
    <x v="1"/>
    <n v="1"/>
    <n v="346629"/>
    <n v="346629"/>
    <x v="404"/>
    <x v="404"/>
    <x v="404"/>
    <x v="404"/>
  </r>
  <r>
    <x v="405"/>
    <x v="295"/>
    <x v="1"/>
    <x v="1"/>
    <x v="4"/>
    <x v="1"/>
    <x v="1"/>
    <n v="1"/>
    <n v="309438"/>
    <n v="309438"/>
    <x v="405"/>
    <x v="405"/>
    <x v="405"/>
    <x v="405"/>
  </r>
  <r>
    <x v="406"/>
    <x v="296"/>
    <x v="3"/>
    <x v="0"/>
    <x v="0"/>
    <x v="1"/>
    <x v="2"/>
    <n v="3"/>
    <n v="200528"/>
    <n v="601584"/>
    <x v="406"/>
    <x v="406"/>
    <x v="406"/>
    <x v="406"/>
  </r>
  <r>
    <x v="407"/>
    <x v="28"/>
    <x v="2"/>
    <x v="1"/>
    <x v="2"/>
    <x v="0"/>
    <x v="2"/>
    <n v="3"/>
    <n v="347698"/>
    <n v="1043094"/>
    <x v="407"/>
    <x v="407"/>
    <x v="407"/>
    <x v="407"/>
  </r>
  <r>
    <x v="408"/>
    <x v="272"/>
    <x v="1"/>
    <x v="1"/>
    <x v="3"/>
    <x v="4"/>
    <x v="1"/>
    <n v="4"/>
    <n v="359066"/>
    <n v="1436264"/>
    <x v="408"/>
    <x v="408"/>
    <x v="408"/>
    <x v="408"/>
  </r>
  <r>
    <x v="409"/>
    <x v="297"/>
    <x v="4"/>
    <x v="0"/>
    <x v="4"/>
    <x v="2"/>
    <x v="0"/>
    <n v="2"/>
    <n v="325553"/>
    <n v="651106"/>
    <x v="409"/>
    <x v="409"/>
    <x v="409"/>
    <x v="409"/>
  </r>
  <r>
    <x v="410"/>
    <x v="298"/>
    <x v="1"/>
    <x v="1"/>
    <x v="1"/>
    <x v="5"/>
    <x v="0"/>
    <n v="9"/>
    <n v="250399"/>
    <n v="2253591"/>
    <x v="410"/>
    <x v="410"/>
    <x v="410"/>
    <x v="410"/>
  </r>
  <r>
    <x v="411"/>
    <x v="172"/>
    <x v="3"/>
    <x v="1"/>
    <x v="2"/>
    <x v="3"/>
    <x v="2"/>
    <n v="7"/>
    <n v="272472"/>
    <n v="1907304"/>
    <x v="411"/>
    <x v="411"/>
    <x v="411"/>
    <x v="411"/>
  </r>
  <r>
    <x v="412"/>
    <x v="35"/>
    <x v="2"/>
    <x v="0"/>
    <x v="3"/>
    <x v="2"/>
    <x v="1"/>
    <n v="7"/>
    <n v="348783"/>
    <n v="2441481"/>
    <x v="412"/>
    <x v="412"/>
    <x v="412"/>
    <x v="412"/>
  </r>
  <r>
    <x v="413"/>
    <x v="227"/>
    <x v="2"/>
    <x v="1"/>
    <x v="0"/>
    <x v="0"/>
    <x v="1"/>
    <n v="6"/>
    <n v="281182"/>
    <n v="1687092"/>
    <x v="413"/>
    <x v="413"/>
    <x v="413"/>
    <x v="413"/>
  </r>
  <r>
    <x v="414"/>
    <x v="299"/>
    <x v="3"/>
    <x v="1"/>
    <x v="4"/>
    <x v="3"/>
    <x v="2"/>
    <n v="3"/>
    <n v="331836"/>
    <n v="995508"/>
    <x v="414"/>
    <x v="414"/>
    <x v="414"/>
    <x v="414"/>
  </r>
  <r>
    <x v="415"/>
    <x v="123"/>
    <x v="3"/>
    <x v="1"/>
    <x v="3"/>
    <x v="5"/>
    <x v="0"/>
    <n v="6"/>
    <n v="139037"/>
    <n v="834222"/>
    <x v="415"/>
    <x v="415"/>
    <x v="415"/>
    <x v="415"/>
  </r>
  <r>
    <x v="416"/>
    <x v="300"/>
    <x v="4"/>
    <x v="1"/>
    <x v="0"/>
    <x v="5"/>
    <x v="0"/>
    <n v="8"/>
    <n v="259912"/>
    <n v="2079296"/>
    <x v="416"/>
    <x v="416"/>
    <x v="416"/>
    <x v="416"/>
  </r>
  <r>
    <x v="417"/>
    <x v="86"/>
    <x v="2"/>
    <x v="0"/>
    <x v="3"/>
    <x v="4"/>
    <x v="0"/>
    <n v="8"/>
    <n v="235272"/>
    <n v="1882176"/>
    <x v="417"/>
    <x v="417"/>
    <x v="417"/>
    <x v="417"/>
  </r>
  <r>
    <x v="418"/>
    <x v="216"/>
    <x v="1"/>
    <x v="0"/>
    <x v="2"/>
    <x v="3"/>
    <x v="2"/>
    <n v="9"/>
    <n v="274135"/>
    <n v="2467215"/>
    <x v="418"/>
    <x v="418"/>
    <x v="418"/>
    <x v="418"/>
  </r>
  <r>
    <x v="419"/>
    <x v="149"/>
    <x v="0"/>
    <x v="0"/>
    <x v="2"/>
    <x v="4"/>
    <x v="0"/>
    <n v="1"/>
    <n v="238487"/>
    <n v="238487"/>
    <x v="419"/>
    <x v="419"/>
    <x v="419"/>
    <x v="419"/>
  </r>
  <r>
    <x v="420"/>
    <x v="125"/>
    <x v="0"/>
    <x v="1"/>
    <x v="2"/>
    <x v="2"/>
    <x v="2"/>
    <n v="1"/>
    <n v="68074"/>
    <n v="68074"/>
    <x v="420"/>
    <x v="420"/>
    <x v="420"/>
    <x v="420"/>
  </r>
  <r>
    <x v="421"/>
    <x v="0"/>
    <x v="3"/>
    <x v="1"/>
    <x v="4"/>
    <x v="1"/>
    <x v="2"/>
    <n v="3"/>
    <n v="196621"/>
    <n v="589863"/>
    <x v="421"/>
    <x v="421"/>
    <x v="421"/>
    <x v="421"/>
  </r>
  <r>
    <x v="422"/>
    <x v="301"/>
    <x v="4"/>
    <x v="0"/>
    <x v="2"/>
    <x v="1"/>
    <x v="1"/>
    <n v="3"/>
    <n v="342107"/>
    <n v="1026321"/>
    <x v="422"/>
    <x v="422"/>
    <x v="422"/>
    <x v="422"/>
  </r>
  <r>
    <x v="423"/>
    <x v="302"/>
    <x v="0"/>
    <x v="1"/>
    <x v="0"/>
    <x v="1"/>
    <x v="0"/>
    <n v="8"/>
    <n v="277434"/>
    <n v="2219472"/>
    <x v="423"/>
    <x v="423"/>
    <x v="423"/>
    <x v="423"/>
  </r>
  <r>
    <x v="424"/>
    <x v="303"/>
    <x v="2"/>
    <x v="1"/>
    <x v="3"/>
    <x v="3"/>
    <x v="2"/>
    <n v="1"/>
    <n v="282679"/>
    <n v="282679"/>
    <x v="424"/>
    <x v="424"/>
    <x v="424"/>
    <x v="424"/>
  </r>
  <r>
    <x v="425"/>
    <x v="304"/>
    <x v="3"/>
    <x v="1"/>
    <x v="1"/>
    <x v="1"/>
    <x v="0"/>
    <n v="2"/>
    <n v="102265"/>
    <n v="204530"/>
    <x v="425"/>
    <x v="425"/>
    <x v="425"/>
    <x v="425"/>
  </r>
  <r>
    <x v="426"/>
    <x v="305"/>
    <x v="1"/>
    <x v="1"/>
    <x v="0"/>
    <x v="2"/>
    <x v="0"/>
    <n v="2"/>
    <n v="66061"/>
    <n v="132122"/>
    <x v="426"/>
    <x v="426"/>
    <x v="426"/>
    <x v="426"/>
  </r>
  <r>
    <x v="427"/>
    <x v="306"/>
    <x v="3"/>
    <x v="0"/>
    <x v="0"/>
    <x v="4"/>
    <x v="1"/>
    <n v="3"/>
    <n v="209882"/>
    <n v="629646"/>
    <x v="427"/>
    <x v="427"/>
    <x v="427"/>
    <x v="427"/>
  </r>
  <r>
    <x v="428"/>
    <x v="307"/>
    <x v="1"/>
    <x v="0"/>
    <x v="2"/>
    <x v="3"/>
    <x v="0"/>
    <n v="6"/>
    <n v="163502"/>
    <n v="981012"/>
    <x v="428"/>
    <x v="428"/>
    <x v="428"/>
    <x v="428"/>
  </r>
  <r>
    <x v="429"/>
    <x v="68"/>
    <x v="3"/>
    <x v="0"/>
    <x v="4"/>
    <x v="4"/>
    <x v="1"/>
    <n v="1"/>
    <n v="334944"/>
    <n v="334944"/>
    <x v="429"/>
    <x v="429"/>
    <x v="429"/>
    <x v="429"/>
  </r>
  <r>
    <x v="430"/>
    <x v="246"/>
    <x v="3"/>
    <x v="1"/>
    <x v="3"/>
    <x v="3"/>
    <x v="2"/>
    <n v="2"/>
    <n v="428336"/>
    <n v="856672"/>
    <x v="430"/>
    <x v="430"/>
    <x v="430"/>
    <x v="430"/>
  </r>
  <r>
    <x v="431"/>
    <x v="223"/>
    <x v="3"/>
    <x v="0"/>
    <x v="4"/>
    <x v="4"/>
    <x v="0"/>
    <n v="1"/>
    <n v="306505"/>
    <n v="306505"/>
    <x v="431"/>
    <x v="431"/>
    <x v="431"/>
    <x v="431"/>
  </r>
  <r>
    <x v="432"/>
    <x v="308"/>
    <x v="1"/>
    <x v="0"/>
    <x v="3"/>
    <x v="5"/>
    <x v="2"/>
    <n v="5"/>
    <n v="157228"/>
    <n v="786140"/>
    <x v="432"/>
    <x v="432"/>
    <x v="432"/>
    <x v="432"/>
  </r>
  <r>
    <x v="433"/>
    <x v="228"/>
    <x v="1"/>
    <x v="1"/>
    <x v="3"/>
    <x v="4"/>
    <x v="0"/>
    <n v="7"/>
    <n v="256548"/>
    <n v="1795836"/>
    <x v="433"/>
    <x v="433"/>
    <x v="433"/>
    <x v="433"/>
  </r>
  <r>
    <x v="434"/>
    <x v="309"/>
    <x v="3"/>
    <x v="1"/>
    <x v="4"/>
    <x v="1"/>
    <x v="2"/>
    <n v="8"/>
    <n v="340198"/>
    <n v="2721584"/>
    <x v="434"/>
    <x v="434"/>
    <x v="434"/>
    <x v="434"/>
  </r>
  <r>
    <x v="435"/>
    <x v="310"/>
    <x v="0"/>
    <x v="0"/>
    <x v="0"/>
    <x v="5"/>
    <x v="0"/>
    <n v="1"/>
    <n v="226469"/>
    <n v="226469"/>
    <x v="435"/>
    <x v="435"/>
    <x v="435"/>
    <x v="435"/>
  </r>
  <r>
    <x v="436"/>
    <x v="53"/>
    <x v="4"/>
    <x v="0"/>
    <x v="3"/>
    <x v="4"/>
    <x v="0"/>
    <n v="7"/>
    <n v="63233"/>
    <n v="442631"/>
    <x v="436"/>
    <x v="436"/>
    <x v="436"/>
    <x v="436"/>
  </r>
  <r>
    <x v="437"/>
    <x v="311"/>
    <x v="4"/>
    <x v="0"/>
    <x v="4"/>
    <x v="3"/>
    <x v="0"/>
    <n v="5"/>
    <n v="292277"/>
    <n v="1461385"/>
    <x v="437"/>
    <x v="437"/>
    <x v="437"/>
    <x v="437"/>
  </r>
  <r>
    <x v="438"/>
    <x v="312"/>
    <x v="4"/>
    <x v="0"/>
    <x v="3"/>
    <x v="3"/>
    <x v="0"/>
    <n v="1"/>
    <n v="206140"/>
    <n v="206140"/>
    <x v="438"/>
    <x v="438"/>
    <x v="438"/>
    <x v="438"/>
  </r>
  <r>
    <x v="439"/>
    <x v="313"/>
    <x v="1"/>
    <x v="1"/>
    <x v="1"/>
    <x v="3"/>
    <x v="0"/>
    <n v="3"/>
    <n v="377871"/>
    <n v="1133613"/>
    <x v="439"/>
    <x v="439"/>
    <x v="439"/>
    <x v="439"/>
  </r>
  <r>
    <x v="440"/>
    <x v="128"/>
    <x v="1"/>
    <x v="0"/>
    <x v="0"/>
    <x v="0"/>
    <x v="0"/>
    <n v="7"/>
    <n v="402754"/>
    <n v="2819278"/>
    <x v="440"/>
    <x v="440"/>
    <x v="440"/>
    <x v="440"/>
  </r>
  <r>
    <x v="441"/>
    <x v="209"/>
    <x v="0"/>
    <x v="0"/>
    <x v="2"/>
    <x v="2"/>
    <x v="0"/>
    <n v="1"/>
    <n v="382597"/>
    <n v="382597"/>
    <x v="441"/>
    <x v="441"/>
    <x v="441"/>
    <x v="441"/>
  </r>
  <r>
    <x v="442"/>
    <x v="310"/>
    <x v="4"/>
    <x v="1"/>
    <x v="3"/>
    <x v="3"/>
    <x v="0"/>
    <n v="7"/>
    <n v="154135"/>
    <n v="1078945"/>
    <x v="442"/>
    <x v="442"/>
    <x v="442"/>
    <x v="442"/>
  </r>
  <r>
    <x v="443"/>
    <x v="314"/>
    <x v="4"/>
    <x v="0"/>
    <x v="1"/>
    <x v="5"/>
    <x v="0"/>
    <n v="5"/>
    <n v="469048"/>
    <n v="2345240"/>
    <x v="443"/>
    <x v="443"/>
    <x v="443"/>
    <x v="443"/>
  </r>
  <r>
    <x v="444"/>
    <x v="315"/>
    <x v="3"/>
    <x v="1"/>
    <x v="2"/>
    <x v="3"/>
    <x v="2"/>
    <n v="1"/>
    <n v="420608"/>
    <n v="420608"/>
    <x v="444"/>
    <x v="444"/>
    <x v="444"/>
    <x v="444"/>
  </r>
  <r>
    <x v="445"/>
    <x v="136"/>
    <x v="1"/>
    <x v="1"/>
    <x v="2"/>
    <x v="0"/>
    <x v="1"/>
    <n v="1"/>
    <n v="267314"/>
    <n v="267314"/>
    <x v="445"/>
    <x v="445"/>
    <x v="445"/>
    <x v="445"/>
  </r>
  <r>
    <x v="446"/>
    <x v="183"/>
    <x v="4"/>
    <x v="1"/>
    <x v="3"/>
    <x v="1"/>
    <x v="0"/>
    <n v="1"/>
    <n v="63682"/>
    <n v="63682"/>
    <x v="446"/>
    <x v="446"/>
    <x v="446"/>
    <x v="446"/>
  </r>
  <r>
    <x v="447"/>
    <x v="316"/>
    <x v="0"/>
    <x v="0"/>
    <x v="4"/>
    <x v="5"/>
    <x v="1"/>
    <n v="9"/>
    <n v="204455"/>
    <n v="1840095"/>
    <x v="447"/>
    <x v="447"/>
    <x v="447"/>
    <x v="447"/>
  </r>
  <r>
    <x v="448"/>
    <x v="317"/>
    <x v="0"/>
    <x v="0"/>
    <x v="3"/>
    <x v="0"/>
    <x v="0"/>
    <n v="3"/>
    <n v="370304"/>
    <n v="1110912"/>
    <x v="448"/>
    <x v="448"/>
    <x v="448"/>
    <x v="448"/>
  </r>
  <r>
    <x v="449"/>
    <x v="49"/>
    <x v="4"/>
    <x v="1"/>
    <x v="1"/>
    <x v="1"/>
    <x v="0"/>
    <n v="5"/>
    <n v="274404"/>
    <n v="1372020"/>
    <x v="449"/>
    <x v="449"/>
    <x v="449"/>
    <x v="449"/>
  </r>
  <r>
    <x v="450"/>
    <x v="318"/>
    <x v="1"/>
    <x v="0"/>
    <x v="2"/>
    <x v="5"/>
    <x v="2"/>
    <n v="9"/>
    <n v="335810"/>
    <n v="3022290"/>
    <x v="450"/>
    <x v="450"/>
    <x v="450"/>
    <x v="450"/>
  </r>
  <r>
    <x v="451"/>
    <x v="319"/>
    <x v="0"/>
    <x v="0"/>
    <x v="3"/>
    <x v="4"/>
    <x v="2"/>
    <n v="6"/>
    <n v="370961"/>
    <n v="2225766"/>
    <x v="451"/>
    <x v="451"/>
    <x v="451"/>
    <x v="451"/>
  </r>
  <r>
    <x v="452"/>
    <x v="320"/>
    <x v="3"/>
    <x v="1"/>
    <x v="4"/>
    <x v="2"/>
    <x v="1"/>
    <n v="9"/>
    <n v="141198"/>
    <n v="1270782"/>
    <x v="452"/>
    <x v="452"/>
    <x v="452"/>
    <x v="452"/>
  </r>
  <r>
    <x v="453"/>
    <x v="321"/>
    <x v="0"/>
    <x v="1"/>
    <x v="3"/>
    <x v="2"/>
    <x v="2"/>
    <n v="8"/>
    <n v="477858"/>
    <n v="3822864"/>
    <x v="453"/>
    <x v="453"/>
    <x v="453"/>
    <x v="453"/>
  </r>
  <r>
    <x v="454"/>
    <x v="322"/>
    <x v="2"/>
    <x v="0"/>
    <x v="0"/>
    <x v="0"/>
    <x v="2"/>
    <n v="8"/>
    <n v="91830"/>
    <n v="734640"/>
    <x v="454"/>
    <x v="454"/>
    <x v="454"/>
    <x v="454"/>
  </r>
  <r>
    <x v="455"/>
    <x v="323"/>
    <x v="2"/>
    <x v="1"/>
    <x v="4"/>
    <x v="1"/>
    <x v="1"/>
    <n v="1"/>
    <n v="60234"/>
    <n v="60234"/>
    <x v="455"/>
    <x v="455"/>
    <x v="455"/>
    <x v="455"/>
  </r>
  <r>
    <x v="456"/>
    <x v="324"/>
    <x v="1"/>
    <x v="0"/>
    <x v="1"/>
    <x v="2"/>
    <x v="2"/>
    <n v="9"/>
    <n v="107616"/>
    <n v="968544"/>
    <x v="456"/>
    <x v="456"/>
    <x v="456"/>
    <x v="456"/>
  </r>
  <r>
    <x v="457"/>
    <x v="186"/>
    <x v="4"/>
    <x v="0"/>
    <x v="2"/>
    <x v="1"/>
    <x v="0"/>
    <n v="6"/>
    <n v="321365"/>
    <n v="1928190"/>
    <x v="457"/>
    <x v="457"/>
    <x v="457"/>
    <x v="457"/>
  </r>
  <r>
    <x v="458"/>
    <x v="325"/>
    <x v="1"/>
    <x v="0"/>
    <x v="3"/>
    <x v="1"/>
    <x v="1"/>
    <n v="9"/>
    <n v="192482"/>
    <n v="1732338"/>
    <x v="458"/>
    <x v="458"/>
    <x v="458"/>
    <x v="458"/>
  </r>
  <r>
    <x v="459"/>
    <x v="326"/>
    <x v="1"/>
    <x v="0"/>
    <x v="4"/>
    <x v="0"/>
    <x v="1"/>
    <n v="3"/>
    <n v="261127"/>
    <n v="783381"/>
    <x v="459"/>
    <x v="459"/>
    <x v="459"/>
    <x v="459"/>
  </r>
  <r>
    <x v="460"/>
    <x v="304"/>
    <x v="1"/>
    <x v="1"/>
    <x v="0"/>
    <x v="0"/>
    <x v="0"/>
    <n v="3"/>
    <n v="242485"/>
    <n v="727455"/>
    <x v="460"/>
    <x v="460"/>
    <x v="460"/>
    <x v="460"/>
  </r>
  <r>
    <x v="461"/>
    <x v="327"/>
    <x v="1"/>
    <x v="1"/>
    <x v="4"/>
    <x v="0"/>
    <x v="2"/>
    <n v="6"/>
    <n v="51051"/>
    <n v="306306"/>
    <x v="461"/>
    <x v="461"/>
    <x v="461"/>
    <x v="461"/>
  </r>
  <r>
    <x v="462"/>
    <x v="145"/>
    <x v="3"/>
    <x v="1"/>
    <x v="0"/>
    <x v="2"/>
    <x v="1"/>
    <n v="9"/>
    <n v="422673"/>
    <n v="3804057"/>
    <x v="462"/>
    <x v="462"/>
    <x v="462"/>
    <x v="462"/>
  </r>
  <r>
    <x v="463"/>
    <x v="328"/>
    <x v="3"/>
    <x v="1"/>
    <x v="1"/>
    <x v="0"/>
    <x v="1"/>
    <n v="7"/>
    <n v="126918"/>
    <n v="888426"/>
    <x v="463"/>
    <x v="463"/>
    <x v="463"/>
    <x v="463"/>
  </r>
  <r>
    <x v="464"/>
    <x v="329"/>
    <x v="0"/>
    <x v="0"/>
    <x v="2"/>
    <x v="2"/>
    <x v="0"/>
    <n v="3"/>
    <n v="128116"/>
    <n v="384348"/>
    <x v="464"/>
    <x v="464"/>
    <x v="464"/>
    <x v="464"/>
  </r>
  <r>
    <x v="465"/>
    <x v="181"/>
    <x v="2"/>
    <x v="0"/>
    <x v="1"/>
    <x v="0"/>
    <x v="0"/>
    <n v="3"/>
    <n v="434370"/>
    <n v="1303110"/>
    <x v="465"/>
    <x v="465"/>
    <x v="465"/>
    <x v="465"/>
  </r>
  <r>
    <x v="466"/>
    <x v="330"/>
    <x v="1"/>
    <x v="1"/>
    <x v="3"/>
    <x v="3"/>
    <x v="2"/>
    <n v="2"/>
    <n v="499779"/>
    <n v="999558"/>
    <x v="466"/>
    <x v="466"/>
    <x v="466"/>
    <x v="466"/>
  </r>
  <r>
    <x v="467"/>
    <x v="303"/>
    <x v="0"/>
    <x v="0"/>
    <x v="4"/>
    <x v="1"/>
    <x v="1"/>
    <n v="9"/>
    <n v="278931"/>
    <n v="2510379"/>
    <x v="467"/>
    <x v="467"/>
    <x v="467"/>
    <x v="467"/>
  </r>
  <r>
    <x v="468"/>
    <x v="331"/>
    <x v="2"/>
    <x v="0"/>
    <x v="0"/>
    <x v="0"/>
    <x v="2"/>
    <n v="3"/>
    <n v="356901"/>
    <n v="1070703"/>
    <x v="468"/>
    <x v="468"/>
    <x v="468"/>
    <x v="468"/>
  </r>
  <r>
    <x v="469"/>
    <x v="220"/>
    <x v="4"/>
    <x v="0"/>
    <x v="0"/>
    <x v="5"/>
    <x v="2"/>
    <n v="5"/>
    <n v="433152"/>
    <n v="2165760"/>
    <x v="469"/>
    <x v="469"/>
    <x v="469"/>
    <x v="469"/>
  </r>
  <r>
    <x v="470"/>
    <x v="332"/>
    <x v="3"/>
    <x v="1"/>
    <x v="4"/>
    <x v="1"/>
    <x v="0"/>
    <n v="9"/>
    <n v="258547"/>
    <n v="2326923"/>
    <x v="470"/>
    <x v="470"/>
    <x v="470"/>
    <x v="470"/>
  </r>
  <r>
    <x v="471"/>
    <x v="126"/>
    <x v="2"/>
    <x v="1"/>
    <x v="4"/>
    <x v="1"/>
    <x v="1"/>
    <n v="8"/>
    <n v="494473"/>
    <n v="3955784"/>
    <x v="471"/>
    <x v="471"/>
    <x v="471"/>
    <x v="471"/>
  </r>
  <r>
    <x v="472"/>
    <x v="311"/>
    <x v="4"/>
    <x v="1"/>
    <x v="3"/>
    <x v="0"/>
    <x v="1"/>
    <n v="2"/>
    <n v="276572"/>
    <n v="553144"/>
    <x v="472"/>
    <x v="472"/>
    <x v="472"/>
    <x v="472"/>
  </r>
  <r>
    <x v="473"/>
    <x v="333"/>
    <x v="2"/>
    <x v="0"/>
    <x v="1"/>
    <x v="4"/>
    <x v="1"/>
    <n v="3"/>
    <n v="181379"/>
    <n v="544137"/>
    <x v="473"/>
    <x v="473"/>
    <x v="473"/>
    <x v="473"/>
  </r>
  <r>
    <x v="474"/>
    <x v="334"/>
    <x v="3"/>
    <x v="1"/>
    <x v="0"/>
    <x v="0"/>
    <x v="0"/>
    <n v="2"/>
    <n v="106889"/>
    <n v="213778"/>
    <x v="474"/>
    <x v="474"/>
    <x v="474"/>
    <x v="474"/>
  </r>
  <r>
    <x v="475"/>
    <x v="208"/>
    <x v="3"/>
    <x v="1"/>
    <x v="3"/>
    <x v="1"/>
    <x v="0"/>
    <n v="8"/>
    <n v="276256"/>
    <n v="2210048"/>
    <x v="475"/>
    <x v="475"/>
    <x v="475"/>
    <x v="475"/>
  </r>
  <r>
    <x v="476"/>
    <x v="335"/>
    <x v="0"/>
    <x v="1"/>
    <x v="1"/>
    <x v="5"/>
    <x v="0"/>
    <n v="6"/>
    <n v="348088"/>
    <n v="2088528"/>
    <x v="476"/>
    <x v="476"/>
    <x v="476"/>
    <x v="476"/>
  </r>
  <r>
    <x v="477"/>
    <x v="106"/>
    <x v="1"/>
    <x v="1"/>
    <x v="3"/>
    <x v="1"/>
    <x v="0"/>
    <n v="6"/>
    <n v="411699"/>
    <n v="2470194"/>
    <x v="477"/>
    <x v="477"/>
    <x v="477"/>
    <x v="477"/>
  </r>
  <r>
    <x v="478"/>
    <x v="218"/>
    <x v="2"/>
    <x v="1"/>
    <x v="0"/>
    <x v="5"/>
    <x v="0"/>
    <n v="9"/>
    <n v="88134"/>
    <n v="793206"/>
    <x v="478"/>
    <x v="478"/>
    <x v="478"/>
    <x v="478"/>
  </r>
  <r>
    <x v="479"/>
    <x v="336"/>
    <x v="2"/>
    <x v="1"/>
    <x v="4"/>
    <x v="2"/>
    <x v="1"/>
    <n v="8"/>
    <n v="470539"/>
    <n v="3764312"/>
    <x v="479"/>
    <x v="479"/>
    <x v="479"/>
    <x v="479"/>
  </r>
  <r>
    <x v="480"/>
    <x v="337"/>
    <x v="4"/>
    <x v="0"/>
    <x v="4"/>
    <x v="3"/>
    <x v="2"/>
    <n v="4"/>
    <n v="252834"/>
    <n v="1011336"/>
    <x v="480"/>
    <x v="480"/>
    <x v="480"/>
    <x v="480"/>
  </r>
  <r>
    <x v="481"/>
    <x v="338"/>
    <x v="3"/>
    <x v="0"/>
    <x v="1"/>
    <x v="1"/>
    <x v="1"/>
    <n v="4"/>
    <n v="277579"/>
    <n v="1110316"/>
    <x v="481"/>
    <x v="481"/>
    <x v="481"/>
    <x v="481"/>
  </r>
  <r>
    <x v="482"/>
    <x v="15"/>
    <x v="2"/>
    <x v="1"/>
    <x v="2"/>
    <x v="0"/>
    <x v="2"/>
    <n v="9"/>
    <n v="75954"/>
    <n v="683586"/>
    <x v="482"/>
    <x v="482"/>
    <x v="482"/>
    <x v="482"/>
  </r>
  <r>
    <x v="483"/>
    <x v="339"/>
    <x v="3"/>
    <x v="1"/>
    <x v="1"/>
    <x v="2"/>
    <x v="0"/>
    <n v="1"/>
    <n v="236093"/>
    <n v="236093"/>
    <x v="483"/>
    <x v="483"/>
    <x v="483"/>
    <x v="483"/>
  </r>
  <r>
    <x v="484"/>
    <x v="340"/>
    <x v="2"/>
    <x v="0"/>
    <x v="2"/>
    <x v="3"/>
    <x v="2"/>
    <n v="2"/>
    <n v="402103"/>
    <n v="804206"/>
    <x v="484"/>
    <x v="484"/>
    <x v="484"/>
    <x v="484"/>
  </r>
  <r>
    <x v="485"/>
    <x v="223"/>
    <x v="0"/>
    <x v="0"/>
    <x v="3"/>
    <x v="0"/>
    <x v="1"/>
    <n v="2"/>
    <n v="276999"/>
    <n v="553998"/>
    <x v="485"/>
    <x v="485"/>
    <x v="485"/>
    <x v="485"/>
  </r>
  <r>
    <x v="486"/>
    <x v="175"/>
    <x v="1"/>
    <x v="1"/>
    <x v="3"/>
    <x v="4"/>
    <x v="1"/>
    <n v="6"/>
    <n v="260938"/>
    <n v="1565628"/>
    <x v="486"/>
    <x v="486"/>
    <x v="486"/>
    <x v="486"/>
  </r>
  <r>
    <x v="487"/>
    <x v="170"/>
    <x v="2"/>
    <x v="1"/>
    <x v="0"/>
    <x v="0"/>
    <x v="2"/>
    <n v="4"/>
    <n v="251499"/>
    <n v="1005996"/>
    <x v="487"/>
    <x v="487"/>
    <x v="487"/>
    <x v="487"/>
  </r>
  <r>
    <x v="488"/>
    <x v="341"/>
    <x v="3"/>
    <x v="1"/>
    <x v="2"/>
    <x v="5"/>
    <x v="0"/>
    <n v="3"/>
    <n v="317136"/>
    <n v="951408"/>
    <x v="488"/>
    <x v="488"/>
    <x v="488"/>
    <x v="488"/>
  </r>
  <r>
    <x v="489"/>
    <x v="255"/>
    <x v="0"/>
    <x v="1"/>
    <x v="0"/>
    <x v="5"/>
    <x v="0"/>
    <n v="3"/>
    <n v="51961"/>
    <n v="155883"/>
    <x v="489"/>
    <x v="489"/>
    <x v="489"/>
    <x v="489"/>
  </r>
  <r>
    <x v="490"/>
    <x v="342"/>
    <x v="2"/>
    <x v="0"/>
    <x v="4"/>
    <x v="4"/>
    <x v="1"/>
    <n v="3"/>
    <n v="62497"/>
    <n v="187491"/>
    <x v="490"/>
    <x v="490"/>
    <x v="490"/>
    <x v="490"/>
  </r>
  <r>
    <x v="491"/>
    <x v="343"/>
    <x v="4"/>
    <x v="1"/>
    <x v="2"/>
    <x v="2"/>
    <x v="2"/>
    <n v="6"/>
    <n v="475767"/>
    <n v="2854602"/>
    <x v="491"/>
    <x v="491"/>
    <x v="491"/>
    <x v="491"/>
  </r>
  <r>
    <x v="492"/>
    <x v="344"/>
    <x v="1"/>
    <x v="1"/>
    <x v="1"/>
    <x v="3"/>
    <x v="0"/>
    <n v="8"/>
    <n v="306446"/>
    <n v="2451568"/>
    <x v="492"/>
    <x v="492"/>
    <x v="492"/>
    <x v="492"/>
  </r>
  <r>
    <x v="493"/>
    <x v="174"/>
    <x v="2"/>
    <x v="1"/>
    <x v="4"/>
    <x v="0"/>
    <x v="0"/>
    <n v="7"/>
    <n v="498971"/>
    <n v="3492797"/>
    <x v="493"/>
    <x v="493"/>
    <x v="493"/>
    <x v="493"/>
  </r>
  <r>
    <x v="494"/>
    <x v="142"/>
    <x v="0"/>
    <x v="1"/>
    <x v="4"/>
    <x v="5"/>
    <x v="1"/>
    <n v="4"/>
    <n v="325399"/>
    <n v="1301596"/>
    <x v="494"/>
    <x v="494"/>
    <x v="494"/>
    <x v="494"/>
  </r>
  <r>
    <x v="495"/>
    <x v="32"/>
    <x v="4"/>
    <x v="0"/>
    <x v="1"/>
    <x v="2"/>
    <x v="0"/>
    <n v="4"/>
    <n v="185639"/>
    <n v="742556"/>
    <x v="495"/>
    <x v="495"/>
    <x v="495"/>
    <x v="495"/>
  </r>
  <r>
    <x v="496"/>
    <x v="16"/>
    <x v="0"/>
    <x v="0"/>
    <x v="4"/>
    <x v="4"/>
    <x v="2"/>
    <n v="2"/>
    <n v="360991"/>
    <n v="721982"/>
    <x v="496"/>
    <x v="496"/>
    <x v="496"/>
    <x v="496"/>
  </r>
  <r>
    <x v="497"/>
    <x v="345"/>
    <x v="0"/>
    <x v="0"/>
    <x v="2"/>
    <x v="1"/>
    <x v="1"/>
    <n v="1"/>
    <n v="285889"/>
    <n v="285889"/>
    <x v="497"/>
    <x v="497"/>
    <x v="497"/>
    <x v="497"/>
  </r>
  <r>
    <x v="498"/>
    <x v="104"/>
    <x v="4"/>
    <x v="1"/>
    <x v="0"/>
    <x v="5"/>
    <x v="1"/>
    <n v="9"/>
    <n v="229075"/>
    <n v="2061675"/>
    <x v="498"/>
    <x v="498"/>
    <x v="498"/>
    <x v="498"/>
  </r>
  <r>
    <x v="499"/>
    <x v="89"/>
    <x v="0"/>
    <x v="1"/>
    <x v="4"/>
    <x v="4"/>
    <x v="2"/>
    <n v="2"/>
    <n v="70389"/>
    <n v="140778"/>
    <x v="499"/>
    <x v="499"/>
    <x v="499"/>
    <x v="499"/>
  </r>
  <r>
    <x v="500"/>
    <x v="346"/>
    <x v="4"/>
    <x v="0"/>
    <x v="2"/>
    <x v="0"/>
    <x v="1"/>
    <n v="8"/>
    <n v="225595"/>
    <n v="1804760"/>
    <x v="500"/>
    <x v="500"/>
    <x v="500"/>
    <x v="500"/>
  </r>
  <r>
    <x v="501"/>
    <x v="132"/>
    <x v="2"/>
    <x v="1"/>
    <x v="3"/>
    <x v="3"/>
    <x v="0"/>
    <n v="9"/>
    <n v="435946"/>
    <n v="3923514"/>
    <x v="501"/>
    <x v="501"/>
    <x v="501"/>
    <x v="501"/>
  </r>
  <r>
    <x v="502"/>
    <x v="347"/>
    <x v="4"/>
    <x v="1"/>
    <x v="2"/>
    <x v="5"/>
    <x v="0"/>
    <n v="4"/>
    <n v="373720"/>
    <n v="1494880"/>
    <x v="502"/>
    <x v="502"/>
    <x v="502"/>
    <x v="502"/>
  </r>
  <r>
    <x v="503"/>
    <x v="123"/>
    <x v="4"/>
    <x v="0"/>
    <x v="0"/>
    <x v="5"/>
    <x v="2"/>
    <n v="8"/>
    <n v="356063"/>
    <n v="2848504"/>
    <x v="503"/>
    <x v="503"/>
    <x v="503"/>
    <x v="503"/>
  </r>
  <r>
    <x v="504"/>
    <x v="176"/>
    <x v="1"/>
    <x v="0"/>
    <x v="2"/>
    <x v="0"/>
    <x v="0"/>
    <n v="9"/>
    <n v="263175"/>
    <n v="2368575"/>
    <x v="504"/>
    <x v="504"/>
    <x v="504"/>
    <x v="504"/>
  </r>
  <r>
    <x v="505"/>
    <x v="348"/>
    <x v="4"/>
    <x v="0"/>
    <x v="1"/>
    <x v="1"/>
    <x v="2"/>
    <n v="5"/>
    <n v="53358"/>
    <n v="266790"/>
    <x v="505"/>
    <x v="505"/>
    <x v="505"/>
    <x v="505"/>
  </r>
  <r>
    <x v="506"/>
    <x v="349"/>
    <x v="4"/>
    <x v="0"/>
    <x v="0"/>
    <x v="2"/>
    <x v="2"/>
    <n v="7"/>
    <n v="400679"/>
    <n v="2804753"/>
    <x v="506"/>
    <x v="506"/>
    <x v="506"/>
    <x v="506"/>
  </r>
  <r>
    <x v="507"/>
    <x v="350"/>
    <x v="2"/>
    <x v="1"/>
    <x v="3"/>
    <x v="3"/>
    <x v="0"/>
    <n v="4"/>
    <n v="302557"/>
    <n v="1210228"/>
    <x v="507"/>
    <x v="507"/>
    <x v="507"/>
    <x v="507"/>
  </r>
  <r>
    <x v="508"/>
    <x v="351"/>
    <x v="1"/>
    <x v="1"/>
    <x v="1"/>
    <x v="5"/>
    <x v="2"/>
    <n v="1"/>
    <n v="257596"/>
    <n v="257596"/>
    <x v="508"/>
    <x v="508"/>
    <x v="508"/>
    <x v="508"/>
  </r>
  <r>
    <x v="509"/>
    <x v="73"/>
    <x v="3"/>
    <x v="0"/>
    <x v="2"/>
    <x v="3"/>
    <x v="0"/>
    <n v="3"/>
    <n v="304488"/>
    <n v="913464"/>
    <x v="509"/>
    <x v="509"/>
    <x v="509"/>
    <x v="509"/>
  </r>
  <r>
    <x v="510"/>
    <x v="329"/>
    <x v="2"/>
    <x v="1"/>
    <x v="0"/>
    <x v="5"/>
    <x v="1"/>
    <n v="5"/>
    <n v="155982"/>
    <n v="779910"/>
    <x v="510"/>
    <x v="510"/>
    <x v="510"/>
    <x v="510"/>
  </r>
  <r>
    <x v="511"/>
    <x v="352"/>
    <x v="2"/>
    <x v="0"/>
    <x v="3"/>
    <x v="3"/>
    <x v="1"/>
    <n v="3"/>
    <n v="278129"/>
    <n v="834387"/>
    <x v="511"/>
    <x v="511"/>
    <x v="511"/>
    <x v="511"/>
  </r>
  <r>
    <x v="512"/>
    <x v="353"/>
    <x v="3"/>
    <x v="0"/>
    <x v="1"/>
    <x v="4"/>
    <x v="2"/>
    <n v="7"/>
    <n v="317842"/>
    <n v="2224894"/>
    <x v="512"/>
    <x v="512"/>
    <x v="512"/>
    <x v="512"/>
  </r>
  <r>
    <x v="513"/>
    <x v="265"/>
    <x v="4"/>
    <x v="1"/>
    <x v="3"/>
    <x v="5"/>
    <x v="0"/>
    <n v="9"/>
    <n v="378953"/>
    <n v="3410577"/>
    <x v="513"/>
    <x v="513"/>
    <x v="513"/>
    <x v="513"/>
  </r>
  <r>
    <x v="514"/>
    <x v="263"/>
    <x v="0"/>
    <x v="0"/>
    <x v="2"/>
    <x v="3"/>
    <x v="0"/>
    <n v="6"/>
    <n v="143079"/>
    <n v="858474"/>
    <x v="514"/>
    <x v="514"/>
    <x v="514"/>
    <x v="514"/>
  </r>
  <r>
    <x v="515"/>
    <x v="30"/>
    <x v="1"/>
    <x v="1"/>
    <x v="3"/>
    <x v="2"/>
    <x v="1"/>
    <n v="1"/>
    <n v="105805"/>
    <n v="105805"/>
    <x v="515"/>
    <x v="515"/>
    <x v="515"/>
    <x v="515"/>
  </r>
  <r>
    <x v="516"/>
    <x v="101"/>
    <x v="0"/>
    <x v="1"/>
    <x v="4"/>
    <x v="4"/>
    <x v="1"/>
    <n v="7"/>
    <n v="212421"/>
    <n v="1486947"/>
    <x v="516"/>
    <x v="516"/>
    <x v="516"/>
    <x v="516"/>
  </r>
  <r>
    <x v="517"/>
    <x v="61"/>
    <x v="3"/>
    <x v="1"/>
    <x v="1"/>
    <x v="4"/>
    <x v="0"/>
    <n v="3"/>
    <n v="257849"/>
    <n v="773547"/>
    <x v="517"/>
    <x v="517"/>
    <x v="517"/>
    <x v="517"/>
  </r>
  <r>
    <x v="518"/>
    <x v="79"/>
    <x v="2"/>
    <x v="1"/>
    <x v="3"/>
    <x v="2"/>
    <x v="2"/>
    <n v="5"/>
    <n v="493464"/>
    <n v="2467320"/>
    <x v="518"/>
    <x v="518"/>
    <x v="518"/>
    <x v="518"/>
  </r>
  <r>
    <x v="519"/>
    <x v="354"/>
    <x v="2"/>
    <x v="0"/>
    <x v="2"/>
    <x v="3"/>
    <x v="1"/>
    <n v="4"/>
    <n v="387177"/>
    <n v="1548708"/>
    <x v="519"/>
    <x v="519"/>
    <x v="519"/>
    <x v="519"/>
  </r>
  <r>
    <x v="520"/>
    <x v="355"/>
    <x v="1"/>
    <x v="1"/>
    <x v="2"/>
    <x v="0"/>
    <x v="2"/>
    <n v="5"/>
    <n v="288483"/>
    <n v="1442415"/>
    <x v="520"/>
    <x v="520"/>
    <x v="520"/>
    <x v="520"/>
  </r>
  <r>
    <x v="521"/>
    <x v="356"/>
    <x v="2"/>
    <x v="0"/>
    <x v="3"/>
    <x v="2"/>
    <x v="2"/>
    <n v="5"/>
    <n v="410383"/>
    <n v="2051915"/>
    <x v="521"/>
    <x v="521"/>
    <x v="521"/>
    <x v="521"/>
  </r>
  <r>
    <x v="522"/>
    <x v="357"/>
    <x v="2"/>
    <x v="0"/>
    <x v="2"/>
    <x v="3"/>
    <x v="1"/>
    <n v="6"/>
    <n v="442551"/>
    <n v="2655306"/>
    <x v="522"/>
    <x v="522"/>
    <x v="522"/>
    <x v="522"/>
  </r>
  <r>
    <x v="523"/>
    <x v="358"/>
    <x v="1"/>
    <x v="0"/>
    <x v="0"/>
    <x v="2"/>
    <x v="2"/>
    <n v="6"/>
    <n v="94041"/>
    <n v="564246"/>
    <x v="523"/>
    <x v="523"/>
    <x v="523"/>
    <x v="523"/>
  </r>
  <r>
    <x v="524"/>
    <x v="359"/>
    <x v="1"/>
    <x v="0"/>
    <x v="0"/>
    <x v="2"/>
    <x v="2"/>
    <n v="8"/>
    <n v="344098"/>
    <n v="2752784"/>
    <x v="524"/>
    <x v="524"/>
    <x v="524"/>
    <x v="524"/>
  </r>
  <r>
    <x v="525"/>
    <x v="301"/>
    <x v="3"/>
    <x v="1"/>
    <x v="0"/>
    <x v="5"/>
    <x v="0"/>
    <n v="8"/>
    <n v="320146"/>
    <n v="2561168"/>
    <x v="525"/>
    <x v="525"/>
    <x v="525"/>
    <x v="525"/>
  </r>
  <r>
    <x v="526"/>
    <x v="360"/>
    <x v="2"/>
    <x v="1"/>
    <x v="4"/>
    <x v="3"/>
    <x v="2"/>
    <n v="9"/>
    <n v="381927"/>
    <n v="3437343"/>
    <x v="526"/>
    <x v="526"/>
    <x v="526"/>
    <x v="526"/>
  </r>
  <r>
    <x v="527"/>
    <x v="274"/>
    <x v="2"/>
    <x v="0"/>
    <x v="3"/>
    <x v="0"/>
    <x v="0"/>
    <n v="8"/>
    <n v="157524"/>
    <n v="1260192"/>
    <x v="527"/>
    <x v="527"/>
    <x v="527"/>
    <x v="527"/>
  </r>
  <r>
    <x v="528"/>
    <x v="90"/>
    <x v="3"/>
    <x v="0"/>
    <x v="4"/>
    <x v="5"/>
    <x v="1"/>
    <n v="2"/>
    <n v="268306"/>
    <n v="536612"/>
    <x v="528"/>
    <x v="528"/>
    <x v="528"/>
    <x v="528"/>
  </r>
  <r>
    <x v="529"/>
    <x v="361"/>
    <x v="4"/>
    <x v="1"/>
    <x v="2"/>
    <x v="2"/>
    <x v="1"/>
    <n v="1"/>
    <n v="437001"/>
    <n v="437001"/>
    <x v="529"/>
    <x v="529"/>
    <x v="529"/>
    <x v="529"/>
  </r>
  <r>
    <x v="530"/>
    <x v="362"/>
    <x v="4"/>
    <x v="0"/>
    <x v="4"/>
    <x v="1"/>
    <x v="0"/>
    <n v="2"/>
    <n v="69738"/>
    <n v="139476"/>
    <x v="530"/>
    <x v="530"/>
    <x v="530"/>
    <x v="530"/>
  </r>
  <r>
    <x v="531"/>
    <x v="363"/>
    <x v="4"/>
    <x v="1"/>
    <x v="2"/>
    <x v="2"/>
    <x v="1"/>
    <n v="2"/>
    <n v="322847"/>
    <n v="645694"/>
    <x v="531"/>
    <x v="531"/>
    <x v="531"/>
    <x v="531"/>
  </r>
  <r>
    <x v="532"/>
    <x v="231"/>
    <x v="3"/>
    <x v="0"/>
    <x v="2"/>
    <x v="2"/>
    <x v="2"/>
    <n v="3"/>
    <n v="163776"/>
    <n v="491328"/>
    <x v="532"/>
    <x v="532"/>
    <x v="532"/>
    <x v="532"/>
  </r>
  <r>
    <x v="533"/>
    <x v="364"/>
    <x v="2"/>
    <x v="1"/>
    <x v="1"/>
    <x v="3"/>
    <x v="2"/>
    <n v="7"/>
    <n v="230494"/>
    <n v="1613458"/>
    <x v="533"/>
    <x v="533"/>
    <x v="533"/>
    <x v="533"/>
  </r>
  <r>
    <x v="534"/>
    <x v="25"/>
    <x v="3"/>
    <x v="0"/>
    <x v="0"/>
    <x v="3"/>
    <x v="2"/>
    <n v="2"/>
    <n v="242971"/>
    <n v="485942"/>
    <x v="534"/>
    <x v="534"/>
    <x v="534"/>
    <x v="534"/>
  </r>
  <r>
    <x v="535"/>
    <x v="365"/>
    <x v="3"/>
    <x v="0"/>
    <x v="2"/>
    <x v="5"/>
    <x v="1"/>
    <n v="1"/>
    <n v="455608"/>
    <n v="455608"/>
    <x v="535"/>
    <x v="535"/>
    <x v="535"/>
    <x v="535"/>
  </r>
  <r>
    <x v="536"/>
    <x v="366"/>
    <x v="4"/>
    <x v="1"/>
    <x v="1"/>
    <x v="0"/>
    <x v="2"/>
    <n v="6"/>
    <n v="356868"/>
    <n v="2141208"/>
    <x v="536"/>
    <x v="536"/>
    <x v="536"/>
    <x v="536"/>
  </r>
  <r>
    <x v="537"/>
    <x v="367"/>
    <x v="0"/>
    <x v="0"/>
    <x v="0"/>
    <x v="5"/>
    <x v="1"/>
    <n v="9"/>
    <n v="344443"/>
    <n v="3099987"/>
    <x v="537"/>
    <x v="537"/>
    <x v="537"/>
    <x v="537"/>
  </r>
  <r>
    <x v="538"/>
    <x v="24"/>
    <x v="2"/>
    <x v="0"/>
    <x v="2"/>
    <x v="4"/>
    <x v="2"/>
    <n v="3"/>
    <n v="327785"/>
    <n v="983355"/>
    <x v="538"/>
    <x v="538"/>
    <x v="538"/>
    <x v="538"/>
  </r>
  <r>
    <x v="539"/>
    <x v="368"/>
    <x v="4"/>
    <x v="1"/>
    <x v="2"/>
    <x v="2"/>
    <x v="0"/>
    <n v="6"/>
    <n v="391678"/>
    <n v="2350068"/>
    <x v="539"/>
    <x v="539"/>
    <x v="539"/>
    <x v="539"/>
  </r>
  <r>
    <x v="540"/>
    <x v="119"/>
    <x v="0"/>
    <x v="0"/>
    <x v="4"/>
    <x v="1"/>
    <x v="1"/>
    <n v="3"/>
    <n v="318449"/>
    <n v="955347"/>
    <x v="540"/>
    <x v="540"/>
    <x v="540"/>
    <x v="540"/>
  </r>
  <r>
    <x v="541"/>
    <x v="369"/>
    <x v="0"/>
    <x v="1"/>
    <x v="4"/>
    <x v="2"/>
    <x v="1"/>
    <n v="1"/>
    <n v="279334"/>
    <n v="279334"/>
    <x v="541"/>
    <x v="541"/>
    <x v="541"/>
    <x v="541"/>
  </r>
  <r>
    <x v="542"/>
    <x v="136"/>
    <x v="1"/>
    <x v="1"/>
    <x v="0"/>
    <x v="2"/>
    <x v="2"/>
    <n v="5"/>
    <n v="330926"/>
    <n v="1654630"/>
    <x v="542"/>
    <x v="542"/>
    <x v="542"/>
    <x v="542"/>
  </r>
  <r>
    <x v="543"/>
    <x v="16"/>
    <x v="2"/>
    <x v="0"/>
    <x v="2"/>
    <x v="5"/>
    <x v="1"/>
    <n v="4"/>
    <n v="390401"/>
    <n v="1561604"/>
    <x v="543"/>
    <x v="543"/>
    <x v="543"/>
    <x v="543"/>
  </r>
  <r>
    <x v="544"/>
    <x v="276"/>
    <x v="0"/>
    <x v="0"/>
    <x v="3"/>
    <x v="1"/>
    <x v="1"/>
    <n v="7"/>
    <n v="286371"/>
    <n v="2004597"/>
    <x v="544"/>
    <x v="544"/>
    <x v="544"/>
    <x v="544"/>
  </r>
  <r>
    <x v="545"/>
    <x v="38"/>
    <x v="4"/>
    <x v="0"/>
    <x v="4"/>
    <x v="1"/>
    <x v="0"/>
    <n v="6"/>
    <n v="127963"/>
    <n v="767778"/>
    <x v="545"/>
    <x v="545"/>
    <x v="545"/>
    <x v="545"/>
  </r>
  <r>
    <x v="546"/>
    <x v="221"/>
    <x v="1"/>
    <x v="0"/>
    <x v="0"/>
    <x v="1"/>
    <x v="0"/>
    <n v="7"/>
    <n v="171987"/>
    <n v="1203909"/>
    <x v="546"/>
    <x v="546"/>
    <x v="546"/>
    <x v="546"/>
  </r>
  <r>
    <x v="547"/>
    <x v="370"/>
    <x v="2"/>
    <x v="0"/>
    <x v="2"/>
    <x v="5"/>
    <x v="2"/>
    <n v="5"/>
    <n v="201638"/>
    <n v="1008190"/>
    <x v="547"/>
    <x v="547"/>
    <x v="547"/>
    <x v="547"/>
  </r>
  <r>
    <x v="548"/>
    <x v="371"/>
    <x v="3"/>
    <x v="0"/>
    <x v="2"/>
    <x v="2"/>
    <x v="0"/>
    <n v="4"/>
    <n v="174591"/>
    <n v="698364"/>
    <x v="548"/>
    <x v="548"/>
    <x v="548"/>
    <x v="548"/>
  </r>
  <r>
    <x v="549"/>
    <x v="141"/>
    <x v="4"/>
    <x v="0"/>
    <x v="3"/>
    <x v="5"/>
    <x v="2"/>
    <n v="7"/>
    <n v="117766"/>
    <n v="824362"/>
    <x v="549"/>
    <x v="549"/>
    <x v="549"/>
    <x v="549"/>
  </r>
  <r>
    <x v="550"/>
    <x v="372"/>
    <x v="0"/>
    <x v="1"/>
    <x v="0"/>
    <x v="3"/>
    <x v="2"/>
    <n v="7"/>
    <n v="56511"/>
    <n v="395577"/>
    <x v="550"/>
    <x v="550"/>
    <x v="550"/>
    <x v="550"/>
  </r>
  <r>
    <x v="551"/>
    <x v="87"/>
    <x v="0"/>
    <x v="0"/>
    <x v="2"/>
    <x v="3"/>
    <x v="2"/>
    <n v="6"/>
    <n v="164816"/>
    <n v="988896"/>
    <x v="551"/>
    <x v="551"/>
    <x v="551"/>
    <x v="551"/>
  </r>
  <r>
    <x v="552"/>
    <x v="373"/>
    <x v="4"/>
    <x v="1"/>
    <x v="4"/>
    <x v="5"/>
    <x v="1"/>
    <n v="8"/>
    <n v="299432"/>
    <n v="2395456"/>
    <x v="552"/>
    <x v="552"/>
    <x v="552"/>
    <x v="552"/>
  </r>
  <r>
    <x v="553"/>
    <x v="374"/>
    <x v="0"/>
    <x v="0"/>
    <x v="3"/>
    <x v="1"/>
    <x v="0"/>
    <n v="4"/>
    <n v="469393"/>
    <n v="1877572"/>
    <x v="553"/>
    <x v="553"/>
    <x v="553"/>
    <x v="553"/>
  </r>
  <r>
    <x v="554"/>
    <x v="375"/>
    <x v="1"/>
    <x v="0"/>
    <x v="0"/>
    <x v="2"/>
    <x v="2"/>
    <n v="5"/>
    <n v="316909"/>
    <n v="1584545"/>
    <x v="554"/>
    <x v="554"/>
    <x v="554"/>
    <x v="554"/>
  </r>
  <r>
    <x v="555"/>
    <x v="364"/>
    <x v="2"/>
    <x v="1"/>
    <x v="3"/>
    <x v="5"/>
    <x v="0"/>
    <n v="4"/>
    <n v="201426"/>
    <n v="805704"/>
    <x v="555"/>
    <x v="555"/>
    <x v="555"/>
    <x v="555"/>
  </r>
  <r>
    <x v="556"/>
    <x v="297"/>
    <x v="1"/>
    <x v="0"/>
    <x v="4"/>
    <x v="5"/>
    <x v="2"/>
    <n v="1"/>
    <n v="336073"/>
    <n v="336073"/>
    <x v="556"/>
    <x v="556"/>
    <x v="556"/>
    <x v="556"/>
  </r>
  <r>
    <x v="557"/>
    <x v="352"/>
    <x v="0"/>
    <x v="0"/>
    <x v="0"/>
    <x v="5"/>
    <x v="0"/>
    <n v="8"/>
    <n v="209892"/>
    <n v="1679136"/>
    <x v="557"/>
    <x v="557"/>
    <x v="557"/>
    <x v="557"/>
  </r>
  <r>
    <x v="558"/>
    <x v="143"/>
    <x v="3"/>
    <x v="1"/>
    <x v="3"/>
    <x v="4"/>
    <x v="0"/>
    <n v="1"/>
    <n v="161576"/>
    <n v="161576"/>
    <x v="558"/>
    <x v="558"/>
    <x v="558"/>
    <x v="558"/>
  </r>
  <r>
    <x v="559"/>
    <x v="376"/>
    <x v="2"/>
    <x v="0"/>
    <x v="1"/>
    <x v="3"/>
    <x v="2"/>
    <n v="5"/>
    <n v="472739"/>
    <n v="2363695"/>
    <x v="559"/>
    <x v="559"/>
    <x v="559"/>
    <x v="559"/>
  </r>
  <r>
    <x v="560"/>
    <x v="377"/>
    <x v="2"/>
    <x v="0"/>
    <x v="4"/>
    <x v="1"/>
    <x v="1"/>
    <n v="6"/>
    <n v="121088"/>
    <n v="726528"/>
    <x v="560"/>
    <x v="560"/>
    <x v="560"/>
    <x v="560"/>
  </r>
  <r>
    <x v="561"/>
    <x v="335"/>
    <x v="4"/>
    <x v="0"/>
    <x v="4"/>
    <x v="0"/>
    <x v="0"/>
    <n v="6"/>
    <n v="127525"/>
    <n v="765150"/>
    <x v="561"/>
    <x v="561"/>
    <x v="561"/>
    <x v="561"/>
  </r>
  <r>
    <x v="562"/>
    <x v="378"/>
    <x v="4"/>
    <x v="1"/>
    <x v="4"/>
    <x v="1"/>
    <x v="1"/>
    <n v="5"/>
    <n v="63780"/>
    <n v="318900"/>
    <x v="562"/>
    <x v="562"/>
    <x v="562"/>
    <x v="562"/>
  </r>
  <r>
    <x v="563"/>
    <x v="379"/>
    <x v="3"/>
    <x v="0"/>
    <x v="1"/>
    <x v="0"/>
    <x v="1"/>
    <n v="3"/>
    <n v="318733"/>
    <n v="956199"/>
    <x v="563"/>
    <x v="563"/>
    <x v="563"/>
    <x v="563"/>
  </r>
  <r>
    <x v="564"/>
    <x v="171"/>
    <x v="2"/>
    <x v="0"/>
    <x v="1"/>
    <x v="4"/>
    <x v="2"/>
    <n v="5"/>
    <n v="478028"/>
    <n v="2390140"/>
    <x v="564"/>
    <x v="564"/>
    <x v="564"/>
    <x v="564"/>
  </r>
  <r>
    <x v="565"/>
    <x v="325"/>
    <x v="3"/>
    <x v="0"/>
    <x v="2"/>
    <x v="5"/>
    <x v="2"/>
    <n v="8"/>
    <n v="405808"/>
    <n v="3246464"/>
    <x v="565"/>
    <x v="565"/>
    <x v="565"/>
    <x v="565"/>
  </r>
  <r>
    <x v="566"/>
    <x v="380"/>
    <x v="4"/>
    <x v="0"/>
    <x v="3"/>
    <x v="4"/>
    <x v="2"/>
    <n v="2"/>
    <n v="489155"/>
    <n v="978310"/>
    <x v="566"/>
    <x v="566"/>
    <x v="566"/>
    <x v="566"/>
  </r>
  <r>
    <x v="567"/>
    <x v="58"/>
    <x v="4"/>
    <x v="1"/>
    <x v="2"/>
    <x v="4"/>
    <x v="0"/>
    <n v="6"/>
    <n v="494709"/>
    <n v="2968254"/>
    <x v="567"/>
    <x v="567"/>
    <x v="567"/>
    <x v="567"/>
  </r>
  <r>
    <x v="568"/>
    <x v="381"/>
    <x v="2"/>
    <x v="1"/>
    <x v="3"/>
    <x v="2"/>
    <x v="2"/>
    <n v="9"/>
    <n v="154188"/>
    <n v="1387692"/>
    <x v="568"/>
    <x v="568"/>
    <x v="568"/>
    <x v="568"/>
  </r>
  <r>
    <x v="569"/>
    <x v="382"/>
    <x v="1"/>
    <x v="0"/>
    <x v="1"/>
    <x v="3"/>
    <x v="2"/>
    <n v="8"/>
    <n v="143326"/>
    <n v="1146608"/>
    <x v="569"/>
    <x v="569"/>
    <x v="569"/>
    <x v="569"/>
  </r>
  <r>
    <x v="570"/>
    <x v="135"/>
    <x v="0"/>
    <x v="0"/>
    <x v="1"/>
    <x v="0"/>
    <x v="0"/>
    <n v="8"/>
    <n v="353097"/>
    <n v="2824776"/>
    <x v="570"/>
    <x v="570"/>
    <x v="570"/>
    <x v="570"/>
  </r>
  <r>
    <x v="571"/>
    <x v="151"/>
    <x v="4"/>
    <x v="1"/>
    <x v="2"/>
    <x v="5"/>
    <x v="0"/>
    <n v="8"/>
    <n v="115785"/>
    <n v="926280"/>
    <x v="571"/>
    <x v="571"/>
    <x v="571"/>
    <x v="571"/>
  </r>
  <r>
    <x v="572"/>
    <x v="57"/>
    <x v="4"/>
    <x v="1"/>
    <x v="0"/>
    <x v="0"/>
    <x v="2"/>
    <n v="7"/>
    <n v="69309"/>
    <n v="485163"/>
    <x v="572"/>
    <x v="572"/>
    <x v="572"/>
    <x v="572"/>
  </r>
  <r>
    <x v="573"/>
    <x v="196"/>
    <x v="1"/>
    <x v="0"/>
    <x v="2"/>
    <x v="1"/>
    <x v="2"/>
    <n v="8"/>
    <n v="104195"/>
    <n v="833560"/>
    <x v="573"/>
    <x v="573"/>
    <x v="573"/>
    <x v="573"/>
  </r>
  <r>
    <x v="574"/>
    <x v="330"/>
    <x v="1"/>
    <x v="1"/>
    <x v="3"/>
    <x v="0"/>
    <x v="2"/>
    <n v="6"/>
    <n v="75901"/>
    <n v="455406"/>
    <x v="574"/>
    <x v="574"/>
    <x v="574"/>
    <x v="574"/>
  </r>
  <r>
    <x v="575"/>
    <x v="119"/>
    <x v="3"/>
    <x v="0"/>
    <x v="2"/>
    <x v="1"/>
    <x v="2"/>
    <n v="2"/>
    <n v="204648"/>
    <n v="409296"/>
    <x v="575"/>
    <x v="575"/>
    <x v="575"/>
    <x v="575"/>
  </r>
  <r>
    <x v="576"/>
    <x v="378"/>
    <x v="3"/>
    <x v="1"/>
    <x v="4"/>
    <x v="3"/>
    <x v="1"/>
    <n v="2"/>
    <n v="474724"/>
    <n v="949448"/>
    <x v="576"/>
    <x v="576"/>
    <x v="576"/>
    <x v="576"/>
  </r>
  <r>
    <x v="577"/>
    <x v="383"/>
    <x v="0"/>
    <x v="1"/>
    <x v="3"/>
    <x v="1"/>
    <x v="1"/>
    <n v="8"/>
    <n v="75464"/>
    <n v="603712"/>
    <x v="577"/>
    <x v="577"/>
    <x v="577"/>
    <x v="577"/>
  </r>
  <r>
    <x v="578"/>
    <x v="384"/>
    <x v="0"/>
    <x v="1"/>
    <x v="3"/>
    <x v="0"/>
    <x v="2"/>
    <n v="1"/>
    <n v="328404"/>
    <n v="328404"/>
    <x v="578"/>
    <x v="578"/>
    <x v="578"/>
    <x v="578"/>
  </r>
  <r>
    <x v="579"/>
    <x v="385"/>
    <x v="2"/>
    <x v="1"/>
    <x v="0"/>
    <x v="0"/>
    <x v="1"/>
    <n v="6"/>
    <n v="174997"/>
    <n v="1049982"/>
    <x v="579"/>
    <x v="579"/>
    <x v="579"/>
    <x v="579"/>
  </r>
  <r>
    <x v="580"/>
    <x v="54"/>
    <x v="3"/>
    <x v="0"/>
    <x v="1"/>
    <x v="1"/>
    <x v="0"/>
    <n v="6"/>
    <n v="347584"/>
    <n v="2085504"/>
    <x v="580"/>
    <x v="580"/>
    <x v="580"/>
    <x v="580"/>
  </r>
  <r>
    <x v="581"/>
    <x v="210"/>
    <x v="4"/>
    <x v="1"/>
    <x v="3"/>
    <x v="4"/>
    <x v="1"/>
    <n v="4"/>
    <n v="407226"/>
    <n v="1628904"/>
    <x v="581"/>
    <x v="581"/>
    <x v="581"/>
    <x v="581"/>
  </r>
  <r>
    <x v="582"/>
    <x v="196"/>
    <x v="3"/>
    <x v="1"/>
    <x v="1"/>
    <x v="3"/>
    <x v="1"/>
    <n v="3"/>
    <n v="417727"/>
    <n v="1253181"/>
    <x v="582"/>
    <x v="582"/>
    <x v="582"/>
    <x v="582"/>
  </r>
  <r>
    <x v="583"/>
    <x v="386"/>
    <x v="4"/>
    <x v="0"/>
    <x v="2"/>
    <x v="2"/>
    <x v="2"/>
    <n v="3"/>
    <n v="106683"/>
    <n v="320049"/>
    <x v="583"/>
    <x v="583"/>
    <x v="583"/>
    <x v="583"/>
  </r>
  <r>
    <x v="584"/>
    <x v="281"/>
    <x v="1"/>
    <x v="1"/>
    <x v="4"/>
    <x v="5"/>
    <x v="1"/>
    <n v="1"/>
    <n v="436350"/>
    <n v="436350"/>
    <x v="584"/>
    <x v="584"/>
    <x v="584"/>
    <x v="584"/>
  </r>
  <r>
    <x v="585"/>
    <x v="387"/>
    <x v="3"/>
    <x v="1"/>
    <x v="0"/>
    <x v="0"/>
    <x v="1"/>
    <n v="3"/>
    <n v="222502"/>
    <n v="667506"/>
    <x v="585"/>
    <x v="585"/>
    <x v="585"/>
    <x v="585"/>
  </r>
  <r>
    <x v="586"/>
    <x v="388"/>
    <x v="1"/>
    <x v="0"/>
    <x v="1"/>
    <x v="5"/>
    <x v="1"/>
    <n v="4"/>
    <n v="445203"/>
    <n v="1780812"/>
    <x v="586"/>
    <x v="586"/>
    <x v="586"/>
    <x v="586"/>
  </r>
  <r>
    <x v="587"/>
    <x v="389"/>
    <x v="0"/>
    <x v="1"/>
    <x v="3"/>
    <x v="2"/>
    <x v="1"/>
    <n v="5"/>
    <n v="206177"/>
    <n v="1030885"/>
    <x v="587"/>
    <x v="587"/>
    <x v="587"/>
    <x v="587"/>
  </r>
  <r>
    <x v="588"/>
    <x v="390"/>
    <x v="0"/>
    <x v="0"/>
    <x v="1"/>
    <x v="5"/>
    <x v="0"/>
    <n v="3"/>
    <n v="128484"/>
    <n v="385452"/>
    <x v="588"/>
    <x v="588"/>
    <x v="588"/>
    <x v="588"/>
  </r>
  <r>
    <x v="589"/>
    <x v="127"/>
    <x v="2"/>
    <x v="0"/>
    <x v="3"/>
    <x v="2"/>
    <x v="2"/>
    <n v="6"/>
    <n v="299819"/>
    <n v="1798914"/>
    <x v="589"/>
    <x v="589"/>
    <x v="589"/>
    <x v="589"/>
  </r>
  <r>
    <x v="590"/>
    <x v="340"/>
    <x v="3"/>
    <x v="0"/>
    <x v="1"/>
    <x v="1"/>
    <x v="2"/>
    <n v="5"/>
    <n v="456242"/>
    <n v="2281210"/>
    <x v="590"/>
    <x v="590"/>
    <x v="590"/>
    <x v="590"/>
  </r>
  <r>
    <x v="591"/>
    <x v="314"/>
    <x v="1"/>
    <x v="0"/>
    <x v="3"/>
    <x v="4"/>
    <x v="0"/>
    <n v="3"/>
    <n v="380453"/>
    <n v="1141359"/>
    <x v="591"/>
    <x v="591"/>
    <x v="591"/>
    <x v="591"/>
  </r>
  <r>
    <x v="592"/>
    <x v="391"/>
    <x v="4"/>
    <x v="1"/>
    <x v="2"/>
    <x v="0"/>
    <x v="1"/>
    <n v="6"/>
    <n v="358071"/>
    <n v="2148426"/>
    <x v="592"/>
    <x v="592"/>
    <x v="592"/>
    <x v="592"/>
  </r>
  <r>
    <x v="593"/>
    <x v="238"/>
    <x v="0"/>
    <x v="0"/>
    <x v="3"/>
    <x v="2"/>
    <x v="0"/>
    <n v="6"/>
    <n v="256486"/>
    <n v="1538916"/>
    <x v="593"/>
    <x v="593"/>
    <x v="593"/>
    <x v="593"/>
  </r>
  <r>
    <x v="594"/>
    <x v="10"/>
    <x v="0"/>
    <x v="1"/>
    <x v="3"/>
    <x v="5"/>
    <x v="1"/>
    <n v="8"/>
    <n v="355090"/>
    <n v="2840720"/>
    <x v="594"/>
    <x v="594"/>
    <x v="594"/>
    <x v="594"/>
  </r>
  <r>
    <x v="595"/>
    <x v="392"/>
    <x v="4"/>
    <x v="1"/>
    <x v="4"/>
    <x v="0"/>
    <x v="0"/>
    <n v="2"/>
    <n v="438647"/>
    <n v="877294"/>
    <x v="595"/>
    <x v="595"/>
    <x v="595"/>
    <x v="595"/>
  </r>
  <r>
    <x v="596"/>
    <x v="393"/>
    <x v="1"/>
    <x v="1"/>
    <x v="3"/>
    <x v="4"/>
    <x v="2"/>
    <n v="1"/>
    <n v="499777"/>
    <n v="499777"/>
    <x v="596"/>
    <x v="596"/>
    <x v="596"/>
    <x v="596"/>
  </r>
  <r>
    <x v="597"/>
    <x v="394"/>
    <x v="1"/>
    <x v="1"/>
    <x v="4"/>
    <x v="1"/>
    <x v="2"/>
    <n v="4"/>
    <n v="191449"/>
    <n v="765796"/>
    <x v="597"/>
    <x v="597"/>
    <x v="597"/>
    <x v="597"/>
  </r>
  <r>
    <x v="598"/>
    <x v="222"/>
    <x v="3"/>
    <x v="1"/>
    <x v="0"/>
    <x v="0"/>
    <x v="2"/>
    <n v="7"/>
    <n v="103592"/>
    <n v="725144"/>
    <x v="598"/>
    <x v="598"/>
    <x v="598"/>
    <x v="598"/>
  </r>
  <r>
    <x v="599"/>
    <x v="395"/>
    <x v="3"/>
    <x v="1"/>
    <x v="4"/>
    <x v="2"/>
    <x v="1"/>
    <n v="3"/>
    <n v="188419"/>
    <n v="565257"/>
    <x v="599"/>
    <x v="599"/>
    <x v="599"/>
    <x v="5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BB7F39-D542-4C5E-83FC-4DD4FE282725}" name="PivotTable2"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rowHeaderCaption="Product" colHeaderCaption="">
  <location ref="A23:C30"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Row"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2"/>
  </rowFields>
  <rowItems count="6">
    <i>
      <x/>
    </i>
    <i>
      <x v="1"/>
    </i>
    <i>
      <x v="2"/>
    </i>
    <i>
      <x v="3"/>
    </i>
    <i>
      <x v="4"/>
    </i>
    <i t="grand">
      <x/>
    </i>
  </rowItems>
  <colFields count="1">
    <field x="16"/>
  </colFields>
  <colItems count="2">
    <i>
      <x v="1"/>
    </i>
    <i>
      <x v="2"/>
    </i>
  </colItems>
  <dataFields count="1">
    <dataField name=" Net Revenue By Product" fld="12" baseField="0" baseItem="0" numFmtId="1"/>
  </dataFields>
  <formats count="1">
    <format dxfId="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43FB55-D1AF-4DF3-828E-A865472913E2}" name="PivotTable1"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rowHeaderCaption="Customer" colHeaderCaption="">
  <location ref="A11:C19"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axis="axisRow" showAll="0" sortType="descending">
      <items count="7">
        <item x="3"/>
        <item x="1"/>
        <item x="0"/>
        <item x="2"/>
        <item x="5"/>
        <item x="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5"/>
  </rowFields>
  <rowItems count="7">
    <i>
      <x v="4"/>
    </i>
    <i>
      <x v="1"/>
    </i>
    <i>
      <x v="2"/>
    </i>
    <i>
      <x/>
    </i>
    <i>
      <x v="3"/>
    </i>
    <i>
      <x v="5"/>
    </i>
    <i t="grand">
      <x/>
    </i>
  </rowItems>
  <colFields count="1">
    <field x="16"/>
  </colFields>
  <colItems count="2">
    <i>
      <x v="1"/>
    </i>
    <i>
      <x v="2"/>
    </i>
  </colItems>
  <dataFields count="1">
    <dataField name="Net Revenue by Customer" fld="12" baseField="0" baseItem="0" numFmtId="1"/>
  </dataFields>
  <formats count="4">
    <format dxfId="93">
      <pivotArea outline="0" collapsedLevelsAreSubtotals="1" fieldPosition="0"/>
    </format>
    <format dxfId="92">
      <pivotArea dataOnly="0" labelOnly="1" fieldPosition="0">
        <references count="1">
          <reference field="16" count="2">
            <x v="1"/>
            <x v="2"/>
          </reference>
        </references>
      </pivotArea>
    </format>
    <format dxfId="91">
      <pivotArea dataOnly="0" labelOnly="1" grandCol="1" outline="0" fieldPosition="0"/>
    </format>
    <format dxfId="90">
      <pivotArea field="5"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35512B-6207-4C82-AF25-9600EB948647}" name="PivotTable25"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9" rowHeaderCaption="Region" colHeaderCaption="">
  <location ref="A33:C40"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axis="axisRow"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4"/>
  </rowFields>
  <rowItems count="6">
    <i>
      <x/>
    </i>
    <i>
      <x v="1"/>
    </i>
    <i>
      <x v="2"/>
    </i>
    <i>
      <x v="3"/>
    </i>
    <i>
      <x v="4"/>
    </i>
    <i t="grand">
      <x/>
    </i>
  </rowItems>
  <colFields count="1">
    <field x="16"/>
  </colFields>
  <colItems count="2">
    <i>
      <x v="1"/>
    </i>
    <i>
      <x v="2"/>
    </i>
  </colItems>
  <dataFields count="1">
    <dataField name="Net Revenue by Region" fld="12" baseField="0" baseItem="0" numFmtId="1"/>
  </dataFields>
  <formats count="4">
    <format dxfId="97">
      <pivotArea dataOnly="0" labelOnly="1" fieldPosition="0">
        <references count="1">
          <reference field="16" count="2">
            <x v="1"/>
            <x v="2"/>
          </reference>
        </references>
      </pivotArea>
    </format>
    <format dxfId="96">
      <pivotArea dataOnly="0" labelOnly="1" grandCol="1" outline="0" fieldPosition="0"/>
    </format>
    <format dxfId="95">
      <pivotArea outline="0" collapsedLevelsAreSubtotals="1" fieldPosition="0"/>
    </format>
    <format dxfId="94">
      <pivotArea field="4" type="button" dataOnly="0" labelOnly="1" outline="0" axis="axisRow" fieldPosition="0"/>
    </format>
  </formats>
  <chartFormats count="10">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7" format="8" series="1">
      <pivotArea type="data" outline="0" fieldPosition="0">
        <references count="2">
          <reference field="4294967294" count="1" selected="0">
            <x v="0"/>
          </reference>
          <reference field="16" count="1" selected="0">
            <x v="1"/>
          </reference>
        </references>
      </pivotArea>
    </chartFormat>
    <chartFormat chart="7" format="9" series="1">
      <pivotArea type="data" outline="0" fieldPosition="0">
        <references count="2">
          <reference field="4294967294" count="1" selected="0">
            <x v="0"/>
          </reference>
          <reference field="16" count="1" selected="0">
            <x v="2"/>
          </reference>
        </references>
      </pivotArea>
    </chartFormat>
    <chartFormat chart="7" format="10">
      <pivotArea type="data" outline="0" fieldPosition="0">
        <references count="3">
          <reference field="4294967294" count="1" selected="0">
            <x v="0"/>
          </reference>
          <reference field="4" count="1" selected="0">
            <x v="4"/>
          </reference>
          <reference field="16" count="1" selected="0">
            <x v="2"/>
          </reference>
        </references>
      </pivotArea>
    </chartFormat>
    <chartFormat chart="7" format="11">
      <pivotArea type="data" outline="0" fieldPosition="0">
        <references count="3">
          <reference field="4294967294" count="1" selected="0">
            <x v="0"/>
          </reference>
          <reference field="4" count="1" selected="0">
            <x v="2"/>
          </reference>
          <reference field="16" count="1" selected="0">
            <x v="2"/>
          </reference>
        </references>
      </pivotArea>
    </chartFormat>
    <chartFormat chart="7" format="12">
      <pivotArea type="data" outline="0" fieldPosition="0">
        <references count="3">
          <reference field="4294967294" count="1" selected="0">
            <x v="0"/>
          </reference>
          <reference field="4" count="1" selected="0">
            <x v="1"/>
          </reference>
          <reference field="16"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3">
          <reference field="4294967294" count="1" selected="0">
            <x v="0"/>
          </reference>
          <reference field="4" count="1" selected="0">
            <x v="2"/>
          </reference>
          <reference field="16" count="1" selected="0">
            <x v="1"/>
          </reference>
        </references>
      </pivotArea>
    </chartFormat>
    <chartFormat chart="7" format="15">
      <pivotArea type="data" outline="0" fieldPosition="0">
        <references count="3">
          <reference field="4294967294" count="1" selected="0">
            <x v="0"/>
          </reference>
          <reference field="4" count="1" selected="0">
            <x v="4"/>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4272EC-7FB2-49D9-9ABD-238CE8000ED4}" name="PivotTable45"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rowHeaderCaption="Name" colHeaderCaption="">
  <location ref="G22:H29"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pivotField showAll="0"/>
    <pivotField axis="axisRow" showAll="0" measureFilter="1" sortType="descending">
      <items count="7">
        <item x="3"/>
        <item x="1"/>
        <item x="0"/>
        <item x="2"/>
        <item x="5"/>
        <item x="4"/>
        <item t="default"/>
      </items>
      <autoSortScope>
        <pivotArea dataOnly="0" outline="0" fieldPosition="0">
          <references count="2">
            <reference field="4294967294" count="1" selected="0">
              <x v="0"/>
            </reference>
            <reference field="16" count="1" selected="0">
              <x v="2"/>
            </reference>
          </references>
        </pivotArea>
      </autoSortScope>
    </pivotField>
    <pivotField showAll="0">
      <items count="4">
        <item x="2"/>
        <item x="0"/>
        <item x="1"/>
        <item t="default"/>
      </items>
    </pivotField>
    <pivotField showAll="0"/>
    <pivotField showAll="0"/>
    <pivotField showAll="0"/>
    <pivotField showAll="0"/>
    <pivotField showAll="0"/>
    <pivotField dataField="1"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axis="axisCol" showAll="0" defaultSubtotal="0">
      <items count="4">
        <item h="1" x="0"/>
        <item h="1" x="1"/>
        <item x="2"/>
        <item h="1" x="3"/>
      </items>
    </pivotField>
    <pivotField dragToRow="0" dragToCol="0" dragToPage="0" showAll="0" defaultSubtotal="0"/>
  </pivotFields>
  <rowFields count="1">
    <field x="5"/>
  </rowFields>
  <rowItems count="6">
    <i>
      <x v="2"/>
    </i>
    <i>
      <x/>
    </i>
    <i>
      <x v="4"/>
    </i>
    <i>
      <x v="1"/>
    </i>
    <i>
      <x v="3"/>
    </i>
    <i t="grand">
      <x/>
    </i>
  </rowItems>
  <colFields count="1">
    <field x="16"/>
  </colFields>
  <colItems count="1">
    <i>
      <x v="2"/>
    </i>
  </colItems>
  <dataFields count="1">
    <dataField name="Top five customers" fld="12" baseField="0" baseItem="0" numFmtId="1"/>
  </dataFields>
  <formats count="1">
    <format dxfId="98">
      <pivotArea outline="0" collapsedLevelsAreSubtotals="1" fieldPosition="0"/>
    </format>
  </formats>
  <chartFormats count="7">
    <chartFormat chart="3" format="2"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0"/>
          </reference>
        </references>
      </pivotArea>
    </chartFormat>
    <chartFormat chart="21" format="8">
      <pivotArea type="data" outline="0" fieldPosition="0">
        <references count="2">
          <reference field="4294967294" count="1" selected="0">
            <x v="0"/>
          </reference>
          <reference field="5" count="1" selected="0">
            <x v="2"/>
          </reference>
        </references>
      </pivotArea>
    </chartFormat>
    <chartFormat chart="21" format="9">
      <pivotArea type="data" outline="0" fieldPosition="0">
        <references count="2">
          <reference field="4294967294" count="1" selected="0">
            <x v="0"/>
          </reference>
          <reference field="5" count="1" selected="0">
            <x v="0"/>
          </reference>
        </references>
      </pivotArea>
    </chartFormat>
    <chartFormat chart="21" format="10">
      <pivotArea type="data" outline="0" fieldPosition="0">
        <references count="2">
          <reference field="4294967294" count="1" selected="0">
            <x v="0"/>
          </reference>
          <reference field="5" count="1" selected="0">
            <x v="4"/>
          </reference>
        </references>
      </pivotArea>
    </chartFormat>
    <chartFormat chart="21" format="11">
      <pivotArea type="data" outline="0" fieldPosition="0">
        <references count="2">
          <reference field="4294967294" count="1" selected="0">
            <x v="0"/>
          </reference>
          <reference field="5" count="1" selected="0">
            <x v="1"/>
          </reference>
        </references>
      </pivotArea>
    </chartFormat>
    <chartFormat chart="21" format="12">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F3B010-EF9E-4D29-BC04-331B6C47F823}" name="PivotTable18"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colHeaderCaption="">
  <location ref="G3:J17"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dragToRow="0" dragToCol="0" dragToPage="0" showAll="0" defaultSubtotal="0"/>
    <pivotField axis="axisRow" showAll="0" sortType="descending" defaultSubtotal="0">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axis="axisCol" multipleItemSelectionAllowed="1" showAll="0" defaultSubtotal="0">
      <items count="4">
        <item h="1" x="0"/>
        <item x="1"/>
        <item x="2"/>
        <item h="1" x="3"/>
      </items>
    </pivotField>
    <pivotField dragToRow="0" dragToCol="0" dragToPage="0" showAll="0" defaultSubtotal="0"/>
  </pivotFields>
  <rowFields count="1">
    <field x="15"/>
  </rowFields>
  <rowItems count="13">
    <i>
      <x v="4"/>
    </i>
    <i>
      <x v="11"/>
    </i>
    <i>
      <x v="7"/>
    </i>
    <i>
      <x v="1"/>
    </i>
    <i>
      <x v="2"/>
    </i>
    <i>
      <x v="8"/>
    </i>
    <i>
      <x v="9"/>
    </i>
    <i>
      <x v="5"/>
    </i>
    <i>
      <x v="10"/>
    </i>
    <i>
      <x v="12"/>
    </i>
    <i>
      <x v="3"/>
    </i>
    <i>
      <x v="6"/>
    </i>
    <i t="grand">
      <x/>
    </i>
  </rowItems>
  <colFields count="1">
    <field x="16"/>
  </colFields>
  <colItems count="3">
    <i>
      <x v="1"/>
    </i>
    <i>
      <x v="2"/>
    </i>
    <i t="grand">
      <x/>
    </i>
  </colItems>
  <dataFields count="1">
    <dataField name="Net Revenue" fld="12" baseField="0" baseItem="0" numFmtId="1"/>
  </dataFields>
  <formats count="1">
    <format dxfId="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083222-1420-4245-B046-1BA40A4F9DDB}" name="PivotTable5"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3:B6" firstHeaderRow="1" firstDataRow="1"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 dragToRow="0" dragToCol="0" dragToPage="0" showAll="0" defaultSubtotal="0"/>
  </pivotFields>
  <rowFields count="1">
    <field x="16"/>
  </rowFields>
  <rowItems count="3">
    <i>
      <x v="1"/>
    </i>
    <i>
      <x v="2"/>
    </i>
    <i t="grand">
      <x/>
    </i>
  </rowItems>
  <colItems count="1">
    <i/>
  </colItems>
  <dataFields count="1">
    <dataField name="Total Revenue" fld="12" baseField="0" baseItem="0" numFmtId="1"/>
  </dataFields>
  <formats count="1">
    <format dxfId="1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F07CEE-F08C-4752-88EB-4292CD2C45D4}" name="PivotTable21"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rowHeaderCaption="Products" colHeaderCaption="">
  <location ref="A44:B51"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Row" showAll="0">
      <items count="6">
        <item x="2"/>
        <item x="3"/>
        <item x="0"/>
        <item x="1"/>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axis="axisCol" showAll="0" defaultSubtotal="0">
      <items count="4">
        <item h="1" x="0"/>
        <item h="1" x="1"/>
        <item x="2"/>
        <item h="1" x="3"/>
      </items>
    </pivotField>
    <pivotField dragToRow="0" dragToCol="0" dragToPage="0" showAll="0" defaultSubtotal="0"/>
  </pivotFields>
  <rowFields count="1">
    <field x="2"/>
  </rowFields>
  <rowItems count="6">
    <i>
      <x/>
    </i>
    <i>
      <x v="1"/>
    </i>
    <i>
      <x v="2"/>
    </i>
    <i>
      <x v="3"/>
    </i>
    <i>
      <x v="4"/>
    </i>
    <i t="grand">
      <x/>
    </i>
  </rowItems>
  <colFields count="1">
    <field x="16"/>
  </colFields>
  <colItems count="1">
    <i>
      <x v="2"/>
    </i>
  </colItems>
  <dataFields count="1">
    <dataField name=" 2024 Net Revenue by Products" fld="12" baseField="0" baseItem="0" numFmtId="1"/>
  </dataFields>
  <formats count="1">
    <format dxfId="101">
      <pivotArea outline="0" collapsedLevelsAreSubtotals="1" fieldPosition="0"/>
    </format>
  </formats>
  <chartFormats count="3">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2"/>
          </reference>
        </references>
      </pivotArea>
    </chartFormat>
    <chartFormat chart="6" format="10">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038936-FEF9-436E-9601-E6CAB3B88712}" name="PivotTable46"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6" rowHeaderCaption="Month" colHeaderCaption="">
  <location ref="G35:H37" firstHeaderRow="1" firstDataRow="2" firstDataCol="1"/>
  <pivotFields count="18">
    <pivotField dataField="1"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axis="axisCol" showAll="0" defaultSubtotal="0">
      <items count="4">
        <item h="1" x="0"/>
        <item h="1" x="1"/>
        <item x="2"/>
        <item h="1" x="3"/>
      </items>
    </pivotField>
    <pivotField dragToRow="0" dragToCol="0" dragToPage="0" showAll="0" defaultSubtotal="0"/>
  </pivotFields>
  <rowItems count="1">
    <i/>
  </rowItems>
  <colFields count="1">
    <field x="16"/>
  </colFields>
  <colItems count="1">
    <i>
      <x v="2"/>
    </i>
  </colItems>
  <dataFields count="1">
    <dataField name="Number of Orders" fld="0" subtotal="count" baseField="0" baseItem="0"/>
  </dataFields>
  <chartFormats count="2">
    <chartFormat chart="7" format="4" series="1">
      <pivotArea type="data" outline="0" fieldPosition="0">
        <references count="2">
          <reference field="4294967294" count="1" selected="0">
            <x v="0"/>
          </reference>
          <reference field="16" count="1" selected="0">
            <x v="1"/>
          </reference>
        </references>
      </pivotArea>
    </chartFormat>
    <chartFormat chart="7"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D71673-113F-4020-8E71-E8ED88FD07B8}" name="PivotTable19"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rowHeaderCaption="Months" colHeaderCaption="">
  <location ref="K18:M25"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Row" showAll="0" sortType="descending">
      <items count="6">
        <item x="2"/>
        <item x="3"/>
        <item x="0"/>
        <item x="1"/>
        <item x="4"/>
        <item t="default"/>
      </items>
      <autoSortScope>
        <pivotArea dataOnly="0" outline="0" fieldPosition="0">
          <references count="2">
            <reference field="4294967294" count="1" selected="0">
              <x v="0"/>
            </reference>
            <reference field="16" count="1" selected="0">
              <x v="2"/>
            </reference>
          </references>
        </pivotArea>
      </autoSortScope>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dataField="1" showAll="0"/>
    <pivotField showAll="0"/>
    <pivotField showAll="0"/>
    <pivotField showAll="0"/>
    <pivotField dragToRow="0" dragToCol="0" dragToPage="0" showAll="0" defaultSubtotal="0"/>
    <pivotField showAll="0">
      <items count="15">
        <item x="0"/>
        <item sd="0" x="1"/>
        <item sd="0" x="2"/>
        <item sd="0" x="3"/>
        <item sd="0" x="4"/>
        <item sd="0" x="5"/>
        <item sd="0" x="6"/>
        <item sd="0" x="7"/>
        <item sd="0" x="8"/>
        <item sd="0" x="9"/>
        <item sd="0" x="10"/>
        <item sd="0" x="11"/>
        <item sd="0" x="12"/>
        <item x="13"/>
        <item t="default"/>
      </items>
    </pivotField>
    <pivotField axis="axisCol" showAll="0">
      <items count="5">
        <item x="0"/>
        <item x="1"/>
        <item x="2"/>
        <item x="3"/>
        <item t="default"/>
      </items>
    </pivotField>
    <pivotField dragToRow="0" dragToCol="0" dragToPage="0" showAll="0" defaultSubtotal="0"/>
  </pivotFields>
  <rowFields count="1">
    <field x="2"/>
  </rowFields>
  <rowItems count="6">
    <i>
      <x/>
    </i>
    <i>
      <x v="4"/>
    </i>
    <i>
      <x v="2"/>
    </i>
    <i>
      <x v="3"/>
    </i>
    <i>
      <x v="1"/>
    </i>
    <i t="grand">
      <x/>
    </i>
  </rowItems>
  <colFields count="1">
    <field x="16"/>
  </colFields>
  <colItems count="2">
    <i>
      <x v="1"/>
    </i>
    <i>
      <x v="2"/>
    </i>
  </colItems>
  <dataFields count="1">
    <dataField name="Sum of Cost" fld="10" baseField="0" baseItem="0" numFmtId="1"/>
  </dataFields>
  <formats count="1">
    <format dxfId="41">
      <pivotArea outline="0" collapsedLevelsAreSubtotals="1" fieldPosition="0"/>
    </format>
  </formats>
  <chartFormats count="4">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F36D89-7749-420C-8776-C1430964392D}" name="PivotTable21"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Months" colHeaderCaption="">
  <location ref="A37:C44"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Row"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dataField="1" showAll="0"/>
    <pivotField showAll="0"/>
    <pivotField showAll="0"/>
    <pivotField dragToRow="0" dragToCol="0" dragToPage="0" showAll="0" defaultSubtotal="0"/>
    <pivotField showAll="0">
      <items count="15">
        <item x="0"/>
        <item sd="0" x="1"/>
        <item sd="0" x="2"/>
        <item sd="0" x="3"/>
        <item sd="0" x="4"/>
        <item sd="0" x="5"/>
        <item sd="0" x="6"/>
        <item sd="0" x="7"/>
        <item sd="0" x="8"/>
        <item sd="0" x="9"/>
        <item sd="0" x="10"/>
        <item sd="0" x="11"/>
        <item sd="0" x="12"/>
        <item x="13"/>
        <item t="default"/>
      </items>
    </pivotField>
    <pivotField axis="axisCol" showAll="0">
      <items count="5">
        <item x="0"/>
        <item x="1"/>
        <item x="2"/>
        <item x="3"/>
        <item t="default"/>
      </items>
    </pivotField>
    <pivotField dragToRow="0" dragToCol="0" dragToPage="0" showAll="0" defaultSubtotal="0"/>
  </pivotFields>
  <rowFields count="1">
    <field x="2"/>
  </rowFields>
  <rowItems count="6">
    <i>
      <x/>
    </i>
    <i>
      <x v="1"/>
    </i>
    <i>
      <x v="2"/>
    </i>
    <i>
      <x v="3"/>
    </i>
    <i>
      <x v="4"/>
    </i>
    <i t="grand">
      <x/>
    </i>
  </rowItems>
  <colFields count="1">
    <field x="16"/>
  </colFields>
  <colItems count="2">
    <i>
      <x v="1"/>
    </i>
    <i>
      <x v="2"/>
    </i>
  </colItems>
  <dataFields count="1">
    <dataField name=" Discount" fld="11" baseField="0" baseItem="0" numFmtId="1"/>
  </dataFields>
  <formats count="1">
    <format dxfId="42">
      <pivotArea outline="0" collapsedLevelsAreSubtotals="1" fieldPosition="0"/>
    </format>
  </formats>
  <chartFormats count="4">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00A53F-FD20-4AC2-B2B5-BB8A43DACB3F}" name="PivotTable27"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rowHeaderCaption="Months" colHeaderCaption="">
  <location ref="A24:C26"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Items count="1">
    <i/>
  </rowItems>
  <colFields count="1">
    <field x="16"/>
  </colFields>
  <colItems count="2">
    <i>
      <x v="1"/>
    </i>
    <i>
      <x v="2"/>
    </i>
  </colItems>
  <dataFields count="1">
    <dataField name="Discount" fld="11" baseField="0" baseItem="0" numFmtId="1"/>
  </dataFields>
  <formats count="4">
    <format dxfId="46">
      <pivotArea outline="0" collapsedLevelsAreSubtotals="1" fieldPosition="0"/>
    </format>
    <format dxfId="45">
      <pivotArea field="16" type="button" dataOnly="0" labelOnly="1" outline="0" axis="axisCol" fieldPosition="0"/>
    </format>
    <format dxfId="44">
      <pivotArea type="topRight" dataOnly="0" labelOnly="1" outline="0" fieldPosition="0"/>
    </format>
    <format dxfId="43">
      <pivotArea dataOnly="0" labelOnly="1" fieldPosition="0">
        <references count="1">
          <reference field="16" count="2">
            <x v="1"/>
            <x v="2"/>
          </reference>
        </references>
      </pivotArea>
    </format>
  </formats>
  <chartFormats count="4">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A17E5F-2D4C-4B58-BCAF-B045E10BD8F5}" name="PivotTable32"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F18:H25"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Row" showAll="0">
      <items count="6">
        <item x="2"/>
        <item x="3"/>
        <item x="0"/>
        <item x="1"/>
        <item x="4"/>
        <item t="default"/>
      </items>
    </pivotField>
    <pivotField showAll="0"/>
    <pivotField showAll="0"/>
    <pivotField showAll="0"/>
    <pivotField showAll="0">
      <items count="4">
        <item x="2"/>
        <item x="0"/>
        <item x="1"/>
        <item t="default"/>
      </items>
    </pivotField>
    <pivotField dataField="1" showAll="0"/>
    <pivotField showAll="0"/>
    <pivotField showAll="0"/>
    <pivotField showAll="0"/>
    <pivotField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axis="axisCol" showAll="0" defaultSubtotal="0">
      <items count="4">
        <item x="0"/>
        <item x="1"/>
        <item x="2"/>
        <item x="3"/>
      </items>
    </pivotField>
    <pivotField dragToRow="0" dragToCol="0" dragToPage="0" showAll="0" defaultSubtotal="0"/>
  </pivotFields>
  <rowFields count="1">
    <field x="2"/>
  </rowFields>
  <rowItems count="6">
    <i>
      <x/>
    </i>
    <i>
      <x v="1"/>
    </i>
    <i>
      <x v="2"/>
    </i>
    <i>
      <x v="3"/>
    </i>
    <i>
      <x v="4"/>
    </i>
    <i t="grand">
      <x/>
    </i>
  </rowItems>
  <colFields count="1">
    <field x="16"/>
  </colFields>
  <colItems count="2">
    <i>
      <x v="1"/>
    </i>
    <i>
      <x v="2"/>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98076F3-2DD6-4916-AA6A-CAEAF935B3D1}" name="PivotTable48"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1" rowHeaderCaption="Months" colHeaderCaption="">
  <location ref="P39:S42" firstHeaderRow="0" firstDataRow="1"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sd="0" x="2"/>
        <item sd="0" x="3"/>
        <item sd="0" x="0"/>
        <item sd="0" x="1"/>
        <item sd="0"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dataField="1" showAll="0"/>
    <pivotField showAll="0"/>
    <pivotField dataField="1" showAll="0"/>
    <pivotField dataField="1" showAll="0"/>
    <pivotField dragToRow="0" dragToCol="0" dragToPage="0" showAll="0" defaultSubtotal="0"/>
    <pivotField showAll="0">
      <items count="15">
        <item x="0"/>
        <item sd="0" x="1"/>
        <item sd="0" x="2"/>
        <item sd="0" x="3"/>
        <item sd="0" x="4"/>
        <item sd="0" x="5"/>
        <item sd="0" x="6"/>
        <item sd="0" x="7"/>
        <item sd="0" x="8"/>
        <item sd="0" x="9"/>
        <item sd="0" x="10"/>
        <item sd="0" x="11"/>
        <item sd="0" x="12"/>
        <item x="13"/>
        <item t="default"/>
      </items>
    </pivotField>
    <pivotField axis="axisRow" showAll="0">
      <items count="5">
        <item x="0"/>
        <item x="1"/>
        <item x="2"/>
        <item x="3"/>
        <item t="default"/>
      </items>
    </pivotField>
    <pivotField dragToRow="0" dragToCol="0" dragToPage="0" showAll="0" defaultSubtotal="0"/>
  </pivotFields>
  <rowFields count="1">
    <field x="16"/>
  </rowFields>
  <rowItems count="3">
    <i>
      <x v="1"/>
    </i>
    <i>
      <x v="2"/>
    </i>
    <i t="grand">
      <x/>
    </i>
  </rowItems>
  <colFields count="1">
    <field x="-2"/>
  </colFields>
  <colItems count="3">
    <i>
      <x/>
    </i>
    <i i="1">
      <x v="1"/>
    </i>
    <i i="2">
      <x v="2"/>
    </i>
  </colItems>
  <dataFields count="3">
    <dataField name="Cost" fld="10" baseField="0" baseItem="0"/>
    <dataField name="Net Revenue" fld="12" baseField="0" baseItem="0"/>
    <dataField name="Profit" fld="13" baseField="0" baseItem="0"/>
  </dataFields>
  <formats count="14">
    <format dxfId="60">
      <pivotArea type="all" dataOnly="0" outline="0" fieldPosition="0"/>
    </format>
    <format dxfId="59">
      <pivotArea outline="0" collapsedLevelsAreSubtotals="1" fieldPosition="0"/>
    </format>
    <format dxfId="58">
      <pivotArea type="origin" dataOnly="0" labelOnly="1" outline="0" fieldPosition="0"/>
    </format>
    <format dxfId="57">
      <pivotArea field="-2" type="button" dataOnly="0" labelOnly="1" outline="0" axis="axisCol" fieldPosition="0"/>
    </format>
    <format dxfId="56">
      <pivotArea field="16" type="button" dataOnly="0" labelOnly="1" outline="0" axis="axisRow" fieldPosition="0"/>
    </format>
    <format dxfId="55">
      <pivotArea type="topRight" dataOnly="0" labelOnly="1" outline="0" fieldPosition="0"/>
    </format>
    <format dxfId="54">
      <pivotArea field="15" type="button" dataOnly="0" labelOnly="1" outline="0"/>
    </format>
    <format dxfId="53">
      <pivotArea dataOnly="0" labelOnly="1" grandRow="1" outline="0" fieldPosition="0"/>
    </format>
    <format dxfId="52">
      <pivotArea dataOnly="0" labelOnly="1" outline="0" fieldPosition="0">
        <references count="1">
          <reference field="4294967294" count="3">
            <x v="0"/>
            <x v="1"/>
            <x v="2"/>
          </reference>
        </references>
      </pivotArea>
    </format>
    <format dxfId="51">
      <pivotArea dataOnly="0" labelOnly="1" fieldPosition="0">
        <references count="2">
          <reference field="4294967294" count="1" selected="0">
            <x v="0"/>
          </reference>
          <reference field="16" count="2">
            <x v="1"/>
            <x v="2"/>
          </reference>
        </references>
      </pivotArea>
    </format>
    <format dxfId="50">
      <pivotArea dataOnly="0" labelOnly="1" fieldPosition="0">
        <references count="2">
          <reference field="4294967294" count="1" selected="0">
            <x v="1"/>
          </reference>
          <reference field="16" count="2">
            <x v="1"/>
            <x v="2"/>
          </reference>
        </references>
      </pivotArea>
    </format>
    <format dxfId="49">
      <pivotArea dataOnly="0" labelOnly="1" fieldPosition="0">
        <references count="2">
          <reference field="4294967294" count="1" selected="0">
            <x v="2"/>
          </reference>
          <reference field="16" count="2">
            <x v="1"/>
            <x v="2"/>
          </reference>
        </references>
      </pivotArea>
    </format>
    <format dxfId="48">
      <pivotArea dataOnly="0" labelOnly="1" outline="0" fieldPosition="0">
        <references count="1">
          <reference field="4294967294" count="1">
            <x v="0"/>
          </reference>
        </references>
      </pivotArea>
    </format>
    <format dxfId="47">
      <pivotArea outline="0" collapsedLevelsAreSubtotals="1" fieldPosition="0"/>
    </format>
  </formats>
  <chartFormats count="1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2"/>
          </reference>
        </references>
      </pivotArea>
    </chartFormat>
    <chartFormat chart="15" format="7">
      <pivotArea type="data" outline="0" fieldPosition="0">
        <references count="2">
          <reference field="4294967294" count="1" selected="0">
            <x v="2"/>
          </reference>
          <reference field="16"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2"/>
          </reference>
        </references>
      </pivotArea>
    </chartFormat>
    <chartFormat chart="16" format="11">
      <pivotArea type="data" outline="0" fieldPosition="0">
        <references count="2">
          <reference field="4294967294" count="1" selected="0">
            <x v="2"/>
          </reference>
          <reference field="16" count="1" selected="0">
            <x v="2"/>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2"/>
          </reference>
        </references>
      </pivotArea>
    </chartFormat>
    <chartFormat chart="17" format="11">
      <pivotArea type="data" outline="0" fieldPosition="0">
        <references count="2">
          <reference field="4294967294" count="1" selected="0">
            <x v="2"/>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E8F1A1-05F9-457F-9D13-E91393FE9B37}" name="PivotTable31"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rowHeaderCaption="Months" colHeaderCaption="">
  <location ref="F6:H13"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Row"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2"/>
  </rowFields>
  <rowItems count="6">
    <i>
      <x/>
    </i>
    <i>
      <x v="1"/>
    </i>
    <i>
      <x v="2"/>
    </i>
    <i>
      <x v="3"/>
    </i>
    <i>
      <x v="4"/>
    </i>
    <i t="grand">
      <x/>
    </i>
  </rowItems>
  <colFields count="1">
    <field x="16"/>
  </colFields>
  <colItems count="2">
    <i>
      <x v="1"/>
    </i>
    <i>
      <x v="2"/>
    </i>
  </colItems>
  <dataFields count="1">
    <dataField name="Sum of PROFIT" fld="13" baseField="0" baseItem="0" numFmtId="1"/>
  </dataFields>
  <formats count="1">
    <format dxfId="61">
      <pivotArea outline="0" collapsedLevelsAreSubtotals="1" fieldPosition="0"/>
    </format>
  </formats>
  <chartFormats count="4">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BB28637-FFF1-49D3-B5A0-869E023BCEDF}" name="PivotTable22"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rowHeaderCaption="Months" colHeaderCaption="">
  <location ref="A6:C8"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Items count="1">
    <i/>
  </rowItems>
  <colFields count="1">
    <field x="16"/>
  </colFields>
  <colItems count="2">
    <i>
      <x v="1"/>
    </i>
    <i>
      <x v="2"/>
    </i>
  </colItems>
  <dataFields count="1">
    <dataField name="Cost" fld="10" baseField="0" baseItem="0" numFmtId="1"/>
  </dataFields>
  <formats count="1">
    <format dxfId="62">
      <pivotArea outline="0" collapsedLevelsAreSubtotals="1" fieldPosition="0"/>
    </format>
  </formats>
  <chartFormats count="4">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9970B67-C872-4B93-AEE4-32D072FDB798}" name="PivotTable26"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rowHeaderCaption="Months" colHeaderCaption="">
  <location ref="A18:C20"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Items count="1">
    <i/>
  </rowItems>
  <colFields count="1">
    <field x="16"/>
  </colFields>
  <colItems count="2">
    <i>
      <x v="1"/>
    </i>
    <i>
      <x v="2"/>
    </i>
  </colItems>
  <dataFields count="1">
    <dataField name="PROFIT" fld="13" baseField="0" baseItem="0" numFmtId="1"/>
  </dataFields>
  <formats count="6">
    <format dxfId="68">
      <pivotArea dataOnly="0" labelOnly="1" fieldPosition="0">
        <references count="1">
          <reference field="16" count="1">
            <x v="1"/>
          </reference>
        </references>
      </pivotArea>
    </format>
    <format dxfId="67">
      <pivotArea dataOnly="0" labelOnly="1" fieldPosition="0">
        <references count="1">
          <reference field="16" count="1">
            <x v="2"/>
          </reference>
        </references>
      </pivotArea>
    </format>
    <format dxfId="66">
      <pivotArea outline="0" collapsedLevelsAreSubtotals="1" fieldPosition="0"/>
    </format>
    <format dxfId="65">
      <pivotArea field="16" type="button" dataOnly="0" labelOnly="1" outline="0" axis="axisCol" fieldPosition="0"/>
    </format>
    <format dxfId="64">
      <pivotArea type="topRight" dataOnly="0" labelOnly="1" outline="0" fieldPosition="0"/>
    </format>
    <format dxfId="63">
      <pivotArea dataOnly="0" labelOnly="1" fieldPosition="0">
        <references count="1">
          <reference field="16" count="2">
            <x v="1"/>
            <x v="2"/>
          </reference>
        </references>
      </pivotArea>
    </format>
  </formats>
  <chartFormats count="4">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F4D783E-4032-443F-A595-650EDFF1EB00}" name="PivotTable23"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rowHeaderCaption="Products" colHeaderCaption="">
  <location ref="K6:M13"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Row" showAll="0" sortType="descending">
      <items count="6">
        <item x="2"/>
        <item x="3"/>
        <item x="0"/>
        <item x="1"/>
        <item x="4"/>
        <item t="default"/>
      </items>
      <autoSortScope>
        <pivotArea dataOnly="0" outline="0" fieldPosition="0">
          <references count="2">
            <reference field="4294967294" count="1" selected="0">
              <x v="0"/>
            </reference>
            <reference field="16" count="1" selected="0">
              <x v="2"/>
            </reference>
          </references>
        </pivotArea>
      </autoSortScope>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2"/>
  </rowFields>
  <rowItems count="6">
    <i>
      <x v="4"/>
    </i>
    <i>
      <x/>
    </i>
    <i>
      <x v="2"/>
    </i>
    <i>
      <x v="1"/>
    </i>
    <i>
      <x v="3"/>
    </i>
    <i t="grand">
      <x/>
    </i>
  </rowItems>
  <colFields count="1">
    <field x="16"/>
  </colFields>
  <colItems count="2">
    <i>
      <x v="1"/>
    </i>
    <i>
      <x v="2"/>
    </i>
  </colItems>
  <dataFields count="1">
    <dataField name="Sum of Net_Revenue" fld="12" baseField="0" baseItem="0" numFmtId="1"/>
  </dataFields>
  <formats count="1">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566E151-3123-4058-B95F-B348846FEF61}" name="PivotTable28"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rowHeaderCaption="Months" colHeaderCaption="">
  <location ref="A30:C32"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dataField="1"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Items count="1">
    <i/>
  </rowItems>
  <colFields count="1">
    <field x="16"/>
  </colFields>
  <colItems count="2">
    <i>
      <x v="1"/>
    </i>
    <i>
      <x v="2"/>
    </i>
  </colItems>
  <dataFields count="1">
    <dataField name="Quantity" fld="7" baseField="0" baseItem="0"/>
  </dataFields>
  <chartFormats count="4">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EC0C30F-272C-4F40-AEF8-2E0BE6FB6677}" name="PivotTable25"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rowHeaderCaption="Months" colHeaderCaption="">
  <location ref="A12:C14"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Items count="1">
    <i/>
  </rowItems>
  <colFields count="1">
    <field x="16"/>
  </colFields>
  <colItems count="2">
    <i>
      <x v="1"/>
    </i>
    <i>
      <x v="2"/>
    </i>
  </colItems>
  <dataFields count="1">
    <dataField name="Net Revenue" fld="12" baseField="0" baseItem="0" numFmtId="1"/>
  </dataFields>
  <formats count="4">
    <format dxfId="73">
      <pivotArea outline="0" collapsedLevelsAreSubtotals="1" fieldPosition="0"/>
    </format>
    <format dxfId="72">
      <pivotArea field="16" type="button" dataOnly="0" labelOnly="1" outline="0" axis="axisCol" fieldPosition="0"/>
    </format>
    <format dxfId="71">
      <pivotArea type="topRight" dataOnly="0" labelOnly="1" outline="0" fieldPosition="0"/>
    </format>
    <format dxfId="70">
      <pivotArea dataOnly="0" labelOnly="1" fieldPosition="0">
        <references count="1">
          <reference field="16" count="2">
            <x v="1"/>
            <x v="2"/>
          </reference>
        </references>
      </pivotArea>
    </format>
  </formats>
  <chartFormats count="4">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CBC5C93-E245-4832-A519-8F40F2DB198A}" name="PivotTable24"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rowHeaderCaption="Months" colHeaderCaption="">
  <location ref="F32:L40" firstHeaderRow="1" firstDataRow="3"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Row" showAll="0">
      <items count="6">
        <item sd="0" x="2"/>
        <item sd="0" x="3"/>
        <item sd="0" x="0"/>
        <item sd="0" x="1"/>
        <item sd="0"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dataField="1" showAll="0"/>
    <pivotField showAll="0"/>
    <pivotField dataField="1" showAll="0"/>
    <pivotField dataField="1" showAll="0"/>
    <pivotField dragToRow="0" dragToCol="0" dragToPage="0" showAll="0" defaultSubtotal="0"/>
    <pivotField axis="axisRow" showAll="0">
      <items count="15">
        <item x="0"/>
        <item sd="0" x="1"/>
        <item sd="0" x="2"/>
        <item sd="0" x="3"/>
        <item sd="0" x="4"/>
        <item sd="0" x="5"/>
        <item sd="0" x="6"/>
        <item sd="0" x="7"/>
        <item sd="0" x="8"/>
        <item sd="0" x="9"/>
        <item sd="0" x="10"/>
        <item sd="0" x="11"/>
        <item sd="0" x="12"/>
        <item x="13"/>
        <item t="default"/>
      </items>
    </pivotField>
    <pivotField axis="axisCol" showAll="0">
      <items count="5">
        <item x="0"/>
        <item x="1"/>
        <item x="2"/>
        <item x="3"/>
        <item t="default"/>
      </items>
    </pivotField>
    <pivotField dragToRow="0" dragToCol="0" dragToPage="0" showAll="0" defaultSubtotal="0"/>
  </pivotFields>
  <rowFields count="2">
    <field x="2"/>
    <field x="15"/>
  </rowFields>
  <rowItems count="6">
    <i>
      <x/>
    </i>
    <i>
      <x v="1"/>
    </i>
    <i>
      <x v="2"/>
    </i>
    <i>
      <x v="3"/>
    </i>
    <i>
      <x v="4"/>
    </i>
    <i t="grand">
      <x/>
    </i>
  </rowItems>
  <colFields count="2">
    <field x="-2"/>
    <field x="16"/>
  </colFields>
  <colItems count="6">
    <i>
      <x/>
      <x v="1"/>
    </i>
    <i r="1">
      <x v="2"/>
    </i>
    <i i="1">
      <x v="1"/>
      <x v="1"/>
    </i>
    <i r="1" i="1">
      <x v="2"/>
    </i>
    <i i="2">
      <x v="2"/>
      <x v="1"/>
    </i>
    <i r="1" i="2">
      <x v="2"/>
    </i>
  </colItems>
  <dataFields count="3">
    <dataField name="Cost" fld="10" baseField="0" baseItem="0"/>
    <dataField name="Net Revenue" fld="12" baseField="0" baseItem="0"/>
    <dataField name="Profit" fld="13" baseField="0" baseItem="0"/>
  </dataFields>
  <formats count="14">
    <format dxfId="87">
      <pivotArea type="all" dataOnly="0" outline="0" fieldPosition="0"/>
    </format>
    <format dxfId="86">
      <pivotArea outline="0" collapsedLevelsAreSubtotals="1" fieldPosition="0"/>
    </format>
    <format dxfId="85">
      <pivotArea type="origin" dataOnly="0" labelOnly="1" outline="0" fieldPosition="0"/>
    </format>
    <format dxfId="84">
      <pivotArea field="-2" type="button" dataOnly="0" labelOnly="1" outline="0" axis="axisCol" fieldPosition="0"/>
    </format>
    <format dxfId="83">
      <pivotArea field="16" type="button" dataOnly="0" labelOnly="1" outline="0" axis="axisCol" fieldPosition="1"/>
    </format>
    <format dxfId="82">
      <pivotArea type="topRight" dataOnly="0" labelOnly="1" outline="0" fieldPosition="0"/>
    </format>
    <format dxfId="81">
      <pivotArea field="15" type="button" dataOnly="0" labelOnly="1" outline="0" axis="axisRow" fieldPosition="1"/>
    </format>
    <format dxfId="80">
      <pivotArea dataOnly="0" labelOnly="1" grandRow="1" outline="0" fieldPosition="0"/>
    </format>
    <format dxfId="79">
      <pivotArea dataOnly="0" labelOnly="1" outline="0" fieldPosition="0">
        <references count="1">
          <reference field="4294967294" count="3">
            <x v="0"/>
            <x v="1"/>
            <x v="2"/>
          </reference>
        </references>
      </pivotArea>
    </format>
    <format dxfId="78">
      <pivotArea dataOnly="0" labelOnly="1" fieldPosition="0">
        <references count="2">
          <reference field="4294967294" count="1" selected="0">
            <x v="0"/>
          </reference>
          <reference field="16" count="2">
            <x v="1"/>
            <x v="2"/>
          </reference>
        </references>
      </pivotArea>
    </format>
    <format dxfId="77">
      <pivotArea dataOnly="0" labelOnly="1" fieldPosition="0">
        <references count="2">
          <reference field="4294967294" count="1" selected="0">
            <x v="1"/>
          </reference>
          <reference field="16" count="2">
            <x v="1"/>
            <x v="2"/>
          </reference>
        </references>
      </pivotArea>
    </format>
    <format dxfId="76">
      <pivotArea dataOnly="0" labelOnly="1" fieldPosition="0">
        <references count="2">
          <reference field="4294967294" count="1" selected="0">
            <x v="2"/>
          </reference>
          <reference field="16" count="2">
            <x v="1"/>
            <x v="2"/>
          </reference>
        </references>
      </pivotArea>
    </format>
    <format dxfId="75">
      <pivotArea dataOnly="0" labelOnly="1" outline="0" fieldPosition="0">
        <references count="1">
          <reference field="4294967294" count="1">
            <x v="0"/>
          </reference>
        </references>
      </pivotArea>
    </format>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F248B71-23E2-489D-94F3-4738B9E47488}" name="PivotTable36"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rowHeaderCaption="Regions" colHeaderCaption="">
  <location ref="P6:R13"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axis="axisRow"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4"/>
  </rowFields>
  <rowItems count="6">
    <i>
      <x/>
    </i>
    <i>
      <x v="1"/>
    </i>
    <i>
      <x v="2"/>
    </i>
    <i>
      <x v="3"/>
    </i>
    <i>
      <x v="4"/>
    </i>
    <i t="grand">
      <x/>
    </i>
  </rowItems>
  <colFields count="1">
    <field x="16"/>
  </colFields>
  <colItems count="2">
    <i>
      <x v="1"/>
    </i>
    <i>
      <x v="2"/>
    </i>
  </colItems>
  <dataFields count="1">
    <dataField name="Sum of Net_Revenue" fld="12" baseField="0" baseItem="0" numFmtId="1"/>
  </dataFields>
  <formats count="1">
    <format dxfId="88">
      <pivotArea outline="0" collapsedLevelsAreSubtotals="1" fieldPosition="0"/>
    </format>
  </formats>
  <chartFormats count="4">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EFD576A-FF78-4EA5-8D10-B72DED750F5E}" name="PivotTable37"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rowHeaderCaption="Sales Channel" colHeaderCaption="">
  <location ref="P29:R34" firstHeaderRow="1" firstDataRow="2" firstDataCol="1"/>
  <pivotFields count="18">
    <pivotField dataField="1"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6"/>
  </rowFields>
  <rowItems count="4">
    <i>
      <x/>
    </i>
    <i>
      <x v="1"/>
    </i>
    <i>
      <x v="2"/>
    </i>
    <i t="grand">
      <x/>
    </i>
  </rowItems>
  <colFields count="1">
    <field x="16"/>
  </colFields>
  <colItems count="2">
    <i>
      <x v="1"/>
    </i>
    <i>
      <x v="2"/>
    </i>
  </colItems>
  <dataFields count="1">
    <dataField name="Number of Order" fld="0" subtotal="count" baseField="0" baseItem="0"/>
  </dataFields>
  <chartFormats count="4">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F4FE88E-9F0F-48AA-B01F-18D178C4A7AD}" name="PivotTable41"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rowHeaderCaption="Region" colHeaderCaption="">
  <location ref="I5:K12" firstHeaderRow="1" firstDataRow="2" firstDataCol="1"/>
  <pivotFields count="18">
    <pivotField dataField="1"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Row"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2"/>
  </rowFields>
  <rowItems count="6">
    <i>
      <x/>
    </i>
    <i>
      <x v="1"/>
    </i>
    <i>
      <x v="2"/>
    </i>
    <i>
      <x v="3"/>
    </i>
    <i>
      <x v="4"/>
    </i>
    <i t="grand">
      <x/>
    </i>
  </rowItems>
  <colFields count="1">
    <field x="16"/>
  </colFields>
  <colItems count="2">
    <i>
      <x v="1"/>
    </i>
    <i>
      <x v="2"/>
    </i>
  </colItems>
  <dataFields count="1">
    <dataField name="Number of Order" fld="0" subtotal="count" baseField="0" baseItem="0"/>
  </dataFields>
  <chartFormats count="4">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B9EBC71-CBB7-4490-A60D-9FDBC0347BFF}" name="PivotTable47"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5" rowHeaderCaption="Region" colHeaderCaption="">
  <location ref="I27:J34" firstHeaderRow="1" firstDataRow="2" firstDataCol="1"/>
  <pivotFields count="18">
    <pivotField dataField="1"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axis="axisRow"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h="1" x="0"/>
        <item h="1" x="1"/>
        <item x="2"/>
        <item h="1" x="3"/>
        <item t="default"/>
      </items>
    </pivotField>
    <pivotField dragToRow="0" dragToCol="0" dragToPage="0" showAll="0" defaultSubtotal="0"/>
  </pivotFields>
  <rowFields count="1">
    <field x="4"/>
  </rowFields>
  <rowItems count="6">
    <i>
      <x/>
    </i>
    <i>
      <x v="1"/>
    </i>
    <i>
      <x v="2"/>
    </i>
    <i>
      <x v="3"/>
    </i>
    <i>
      <x v="4"/>
    </i>
    <i t="grand">
      <x/>
    </i>
  </rowItems>
  <colFields count="1">
    <field x="16"/>
  </colFields>
  <colItems count="1">
    <i>
      <x v="2"/>
    </i>
  </colItems>
  <dataFields count="1">
    <dataField name="Number of Order" fld="0" subtotal="count" baseField="0" baseItem="0"/>
  </dataFields>
  <chartFormats count="7">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 chart="7" format="0" series="1">
      <pivotArea type="data" outline="0" fieldPosition="0">
        <references count="2">
          <reference field="4294967294" count="1" selected="0">
            <x v="0"/>
          </reference>
          <reference field="16" count="1" selected="0">
            <x v="1"/>
          </reference>
        </references>
      </pivotArea>
    </chartFormat>
    <chartFormat chart="7" format="1" series="1">
      <pivotArea type="data" outline="0" fieldPosition="0">
        <references count="2">
          <reference field="4294967294" count="1" selected="0">
            <x v="0"/>
          </reference>
          <reference field="16" count="1" selected="0">
            <x v="2"/>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9298EC8-20A6-44C0-9C99-D72E736C44EE}" name="PivotTable42"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rowHeaderCaption="Sales Channel" colHeaderCaption="">
  <location ref="I17:K22" firstHeaderRow="1" firstDataRow="2" firstDataCol="1"/>
  <pivotFields count="18">
    <pivotField dataField="1"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6"/>
  </rowFields>
  <rowItems count="4">
    <i>
      <x/>
    </i>
    <i>
      <x v="1"/>
    </i>
    <i>
      <x v="2"/>
    </i>
    <i t="grand">
      <x/>
    </i>
  </rowItems>
  <colFields count="1">
    <field x="16"/>
  </colFields>
  <colItems count="2">
    <i>
      <x v="1"/>
    </i>
    <i>
      <x v="2"/>
    </i>
  </colItems>
  <dataFields count="1">
    <dataField name="Number of Order" fld="0" subtotal="count" baseField="0" baseItem="0"/>
  </dataFields>
  <chartFormats count="4">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AB1C7ED-A630-4B5F-A7C5-4E9911DCBEF9}" name="PivotTable39"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rowHeaderCaption="Region" colHeaderCaption="">
  <location ref="A15:C22" firstHeaderRow="1" firstDataRow="2" firstDataCol="1"/>
  <pivotFields count="18">
    <pivotField dataField="1"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axis="axisRow"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4"/>
  </rowFields>
  <rowItems count="6">
    <i>
      <x/>
    </i>
    <i>
      <x v="1"/>
    </i>
    <i>
      <x v="2"/>
    </i>
    <i>
      <x v="3"/>
    </i>
    <i>
      <x v="4"/>
    </i>
    <i t="grand">
      <x/>
    </i>
  </rowItems>
  <colFields count="1">
    <field x="16"/>
  </colFields>
  <colItems count="2">
    <i>
      <x v="1"/>
    </i>
    <i>
      <x v="2"/>
    </i>
  </colItems>
  <dataFields count="1">
    <dataField name="Number of Order" fld="0" subtotal="count" baseField="0" baseItem="0"/>
  </dataFields>
  <chartFormats count="4">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ED467C7-A728-4C35-903B-A3B7C95E9BDB}" name="PivotTable43"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 rowHeaderCaption="Sales Channel" colHeaderCaption="">
  <location ref="O6:P11" firstHeaderRow="1" firstDataRow="2" firstDataCol="1"/>
  <pivotFields count="18">
    <pivotField dataField="1"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axis="axisCol" showAll="0" defaultSubtotal="0">
      <items count="4">
        <item h="1" x="0"/>
        <item h="1" x="1"/>
        <item x="2"/>
        <item h="1" x="3"/>
      </items>
    </pivotField>
    <pivotField dragToRow="0" dragToCol="0" dragToPage="0" showAll="0" defaultSubtotal="0"/>
  </pivotFields>
  <rowFields count="1">
    <field x="6"/>
  </rowFields>
  <rowItems count="4">
    <i>
      <x/>
    </i>
    <i>
      <x v="1"/>
    </i>
    <i>
      <x v="2"/>
    </i>
    <i t="grand">
      <x/>
    </i>
  </rowItems>
  <colFields count="1">
    <field x="16"/>
  </colFields>
  <colItems count="1">
    <i>
      <x v="2"/>
    </i>
  </colItems>
  <dataFields count="1">
    <dataField name="Number of Order" fld="0" subtotal="count" baseField="0" baseItem="0"/>
  </dataFields>
  <formats count="1">
    <format dxfId="40">
      <pivotArea dataOnly="0" labelOnly="1" fieldPosition="0">
        <references count="1">
          <reference field="1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4B952B0-6E5B-4B20-BF5A-F94B637C4CDB}" name="PivotTable40"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rowHeaderCaption="Customer" colHeaderCaption="">
  <location ref="A27:C35" firstHeaderRow="1" firstDataRow="2" firstDataCol="1"/>
  <pivotFields count="18">
    <pivotField dataField="1"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axis="axisRow" showAll="0" sortType="descending">
      <items count="7">
        <item x="3"/>
        <item x="1"/>
        <item x="0"/>
        <item x="2"/>
        <item x="5"/>
        <item x="4"/>
        <item t="default"/>
      </items>
      <autoSortScope>
        <pivotArea dataOnly="0" outline="0" fieldPosition="0">
          <references count="2">
            <reference field="4294967294" count="1" selected="0">
              <x v="0"/>
            </reference>
            <reference field="16" count="1" selected="0">
              <x v="2"/>
            </reference>
          </references>
        </pivotArea>
      </autoSortScope>
    </pivotField>
    <pivotField showAll="0">
      <items count="4">
        <item x="2"/>
        <item x="0"/>
        <item x="1"/>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5"/>
  </rowFields>
  <rowItems count="7">
    <i>
      <x v="2"/>
    </i>
    <i>
      <x/>
    </i>
    <i>
      <x v="1"/>
    </i>
    <i>
      <x v="4"/>
    </i>
    <i>
      <x v="3"/>
    </i>
    <i>
      <x v="5"/>
    </i>
    <i t="grand">
      <x/>
    </i>
  </rowItems>
  <colFields count="1">
    <field x="16"/>
  </colFields>
  <colItems count="2">
    <i>
      <x v="1"/>
    </i>
    <i>
      <x v="2"/>
    </i>
  </colItems>
  <dataFields count="1">
    <dataField name="Number of Order" fld="0" subtotal="count" baseField="0" baseItem="0"/>
  </dataFields>
  <chartFormats count="4">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5AF451D1-E42D-4B20-A3BF-B9099157A9D7}" name="PivotTable38"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rowHeaderCaption="Sales Channel" colHeaderCaption="">
  <location ref="A5:C10" firstHeaderRow="1" firstDataRow="2" firstDataCol="1"/>
  <pivotFields count="18">
    <pivotField dataField="1"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6"/>
  </rowFields>
  <rowItems count="4">
    <i>
      <x/>
    </i>
    <i>
      <x v="1"/>
    </i>
    <i>
      <x v="2"/>
    </i>
    <i t="grand">
      <x/>
    </i>
  </rowItems>
  <colFields count="1">
    <field x="16"/>
  </colFields>
  <colItems count="2">
    <i>
      <x v="1"/>
    </i>
    <i>
      <x v="2"/>
    </i>
  </colItems>
  <dataFields count="1">
    <dataField name="Number of Order" fld="0" subtotal="count" baseField="0" baseItem="0"/>
  </dataFields>
  <chartFormats count="4">
    <chartFormat chart="2" format="2" series="1">
      <pivotArea type="data" outline="0" fieldPosition="0">
        <references count="1">
          <reference field="16" count="1" selected="0">
            <x v="1"/>
          </reference>
        </references>
      </pivotArea>
    </chartFormat>
    <chartFormat chart="2" format="3" series="1">
      <pivotArea type="data" outline="0" fieldPosition="0">
        <references count="1">
          <reference field="16" count="1" selected="0">
            <x v="2"/>
          </reference>
        </references>
      </pivotArea>
    </chartFormat>
    <chartFormat chart="1" format="4" series="1">
      <pivotArea type="data" outline="0" fieldPosition="0">
        <references count="1">
          <reference field="16" count="1" selected="0">
            <x v="1"/>
          </reference>
        </references>
      </pivotArea>
    </chartFormat>
    <chartFormat chart="1" format="5" series="1">
      <pivotArea type="data" outline="0" fieldPosition="0">
        <references count="1">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7B0D358-9B6C-40FF-8E8C-3F18C21FC55F}" name="PivotTable34"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rowHeaderCaption="Month" colHeaderCaption="">
  <location ref="A39:C53" firstHeaderRow="1" firstDataRow="2" firstDataCol="1"/>
  <pivotFields count="18">
    <pivotField dataField="1"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dragToRow="0" dragToCol="0" dragToPage="0" showAll="0" defaultSubtotal="0"/>
    <pivotField axis="axisRow" showAll="0" defaultSubtotal="0">
      <items count="14">
        <item x="0"/>
        <item x="1"/>
        <item x="2"/>
        <item x="3"/>
        <item x="4"/>
        <item x="5"/>
        <item x="6"/>
        <item x="7"/>
        <item x="8"/>
        <item x="9"/>
        <item x="10"/>
        <item x="11"/>
        <item x="12"/>
        <item x="13"/>
      </items>
    </pivotField>
    <pivotField axis="axisCol" showAll="0" defaultSubtotal="0">
      <items count="4">
        <item x="0"/>
        <item x="1"/>
        <item x="2"/>
        <item x="3"/>
      </items>
    </pivotField>
    <pivotField dragToRow="0" dragToCol="0" dragToPage="0" showAll="0" defaultSubtotal="0"/>
  </pivotFields>
  <rowFields count="1">
    <field x="15"/>
  </rowFields>
  <rowItems count="13">
    <i>
      <x v="1"/>
    </i>
    <i>
      <x v="2"/>
    </i>
    <i>
      <x v="3"/>
    </i>
    <i>
      <x v="4"/>
    </i>
    <i>
      <x v="5"/>
    </i>
    <i>
      <x v="6"/>
    </i>
    <i>
      <x v="7"/>
    </i>
    <i>
      <x v="8"/>
    </i>
    <i>
      <x v="9"/>
    </i>
    <i>
      <x v="10"/>
    </i>
    <i>
      <x v="11"/>
    </i>
    <i>
      <x v="12"/>
    </i>
    <i t="grand">
      <x/>
    </i>
  </rowItems>
  <colFields count="1">
    <field x="16"/>
  </colFields>
  <colItems count="2">
    <i>
      <x v="1"/>
    </i>
    <i>
      <x v="2"/>
    </i>
  </colItems>
  <dataFields count="1">
    <dataField name="Number of Orders" fld="0" subtotal="count" baseField="0" baseItem="0"/>
  </dataFields>
  <chartFormats count="13">
    <chartFormat chart="7" format="4" series="1">
      <pivotArea type="data" outline="0" fieldPosition="0">
        <references count="2">
          <reference field="4294967294" count="1" selected="0">
            <x v="0"/>
          </reference>
          <reference field="16" count="1" selected="0">
            <x v="1"/>
          </reference>
        </references>
      </pivotArea>
    </chartFormat>
    <chartFormat chart="7" format="5" series="1">
      <pivotArea type="data" outline="0" fieldPosition="0">
        <references count="2">
          <reference field="4294967294" count="1" selected="0">
            <x v="0"/>
          </reference>
          <reference field="16" count="1" selected="0">
            <x v="2"/>
          </reference>
        </references>
      </pivotArea>
    </chartFormat>
    <chartFormat chart="7" format="6">
      <pivotArea type="data" outline="0" fieldPosition="0">
        <references count="3">
          <reference field="4294967294" count="1" selected="0">
            <x v="0"/>
          </reference>
          <reference field="15" count="1" selected="0">
            <x v="3"/>
          </reference>
          <reference field="16" count="1" selected="0">
            <x v="1"/>
          </reference>
        </references>
      </pivotArea>
    </chartFormat>
    <chartFormat chart="7" format="7">
      <pivotArea type="data" outline="0" fieldPosition="0">
        <references count="3">
          <reference field="4294967294" count="1" selected="0">
            <x v="0"/>
          </reference>
          <reference field="15" count="1" selected="0">
            <x v="3"/>
          </reference>
          <reference field="16" count="1" selected="0">
            <x v="2"/>
          </reference>
        </references>
      </pivotArea>
    </chartFormat>
    <chartFormat chart="7" format="8">
      <pivotArea type="data" outline="0" fieldPosition="0">
        <references count="3">
          <reference field="4294967294" count="1" selected="0">
            <x v="0"/>
          </reference>
          <reference field="15" count="1" selected="0">
            <x v="12"/>
          </reference>
          <reference field="16" count="1" selected="0">
            <x v="2"/>
          </reference>
        </references>
      </pivotArea>
    </chartFormat>
    <chartFormat chart="7" format="9">
      <pivotArea type="data" outline="0" fieldPosition="0">
        <references count="3">
          <reference field="4294967294" count="1" selected="0">
            <x v="0"/>
          </reference>
          <reference field="15" count="1" selected="0">
            <x v="9"/>
          </reference>
          <reference field="16" count="1" selected="0">
            <x v="2"/>
          </reference>
        </references>
      </pivotArea>
    </chartFormat>
    <chartFormat chart="7" format="10">
      <pivotArea type="data" outline="0" fieldPosition="0">
        <references count="3">
          <reference field="4294967294" count="1" selected="0">
            <x v="0"/>
          </reference>
          <reference field="15" count="1" selected="0">
            <x v="9"/>
          </reference>
          <reference field="16" count="1" selected="0">
            <x v="1"/>
          </reference>
        </references>
      </pivotArea>
    </chartFormat>
    <chartFormat chart="7" format="11">
      <pivotArea type="data" outline="0" fieldPosition="0">
        <references count="3">
          <reference field="4294967294" count="1" selected="0">
            <x v="0"/>
          </reference>
          <reference field="15" count="1" selected="0">
            <x v="7"/>
          </reference>
          <reference field="16" count="1" selected="0">
            <x v="1"/>
          </reference>
        </references>
      </pivotArea>
    </chartFormat>
    <chartFormat chart="7" format="12">
      <pivotArea type="data" outline="0" fieldPosition="0">
        <references count="3">
          <reference field="4294967294" count="1" selected="0">
            <x v="0"/>
          </reference>
          <reference field="15" count="1" selected="0">
            <x v="4"/>
          </reference>
          <reference field="16" count="1" selected="0">
            <x v="2"/>
          </reference>
        </references>
      </pivotArea>
    </chartFormat>
    <chartFormat chart="7" format="13">
      <pivotArea type="data" outline="0" fieldPosition="0">
        <references count="3">
          <reference field="4294967294" count="1" selected="0">
            <x v="0"/>
          </reference>
          <reference field="15" count="1" selected="0">
            <x v="2"/>
          </reference>
          <reference field="16" count="1" selected="0">
            <x v="2"/>
          </reference>
        </references>
      </pivotArea>
    </chartFormat>
    <chartFormat chart="7" format="14">
      <pivotArea type="data" outline="0" fieldPosition="0">
        <references count="3">
          <reference field="4294967294" count="1" selected="0">
            <x v="0"/>
          </reference>
          <reference field="15" count="1" selected="0">
            <x v="6"/>
          </reference>
          <reference field="16" count="1" selected="0">
            <x v="2"/>
          </reference>
        </references>
      </pivotArea>
    </chartFormat>
    <chartFormat chart="7" format="15">
      <pivotArea type="data" outline="0" fieldPosition="0">
        <references count="3">
          <reference field="4294967294" count="1" selected="0">
            <x v="0"/>
          </reference>
          <reference field="15" count="1" selected="0">
            <x v="1"/>
          </reference>
          <reference field="16" count="1" selected="0">
            <x v="1"/>
          </reference>
        </references>
      </pivotArea>
    </chartFormat>
    <chartFormat chart="7" format="16">
      <pivotArea type="data" outline="0" fieldPosition="0">
        <references count="3">
          <reference field="4294967294" count="1" selected="0">
            <x v="0"/>
          </reference>
          <reference field="15" count="1" selected="0">
            <x v="5"/>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626B4934-662A-49E5-B06D-C9EABD3D2A31}" name="PivotTable16"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colHeaderCaption="">
  <location ref="B31:H45" firstHeaderRow="1" firstDataRow="2" firstDataCol="1" rowPageCount="1" colPageCount="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Col" showAll="0">
      <items count="6">
        <item x="2"/>
        <item x="3"/>
        <item x="0"/>
        <item x="1"/>
        <item x="4"/>
        <item t="default"/>
      </items>
    </pivotField>
    <pivotField showAll="0"/>
    <pivotField showAll="0"/>
    <pivotField showAll="0"/>
    <pivotField showAll="0">
      <items count="4">
        <item x="2"/>
        <item x="0"/>
        <item x="1"/>
        <item t="default"/>
      </items>
    </pivotField>
    <pivotField dataField="1" showAll="0"/>
    <pivotField showAll="0"/>
    <pivotField showAll="0"/>
    <pivotField showAll="0"/>
    <pivotField showAll="0"/>
    <pivotField showAll="0"/>
    <pivotField showAll="0"/>
    <pivotField dragToRow="0" dragToCol="0" dragToPage="0" showAll="0" defaultSubtotal="0"/>
    <pivotField axis="axisRow" showAll="0" defaultSubtotal="0">
      <items count="14">
        <item x="0"/>
        <item x="1"/>
        <item x="2"/>
        <item x="3"/>
        <item x="4"/>
        <item x="5"/>
        <item x="6"/>
        <item x="7"/>
        <item x="8"/>
        <item x="9"/>
        <item x="10"/>
        <item x="11"/>
        <item x="12"/>
        <item x="13"/>
      </items>
    </pivotField>
    <pivotField axis="axisPage" showAll="0" defaultSubtotal="0">
      <items count="4">
        <item x="0"/>
        <item x="1"/>
        <item x="2"/>
        <item x="3"/>
      </items>
    </pivotField>
    <pivotField dragToRow="0" dragToCol="0" dragToPage="0" showAll="0" defaultSubtotal="0"/>
  </pivotFields>
  <rowFields count="1">
    <field x="15"/>
  </rowFields>
  <rowItems count="13">
    <i>
      <x v="1"/>
    </i>
    <i>
      <x v="2"/>
    </i>
    <i>
      <x v="3"/>
    </i>
    <i>
      <x v="4"/>
    </i>
    <i>
      <x v="5"/>
    </i>
    <i>
      <x v="6"/>
    </i>
    <i>
      <x v="7"/>
    </i>
    <i>
      <x v="8"/>
    </i>
    <i>
      <x v="9"/>
    </i>
    <i>
      <x v="10"/>
    </i>
    <i>
      <x v="11"/>
    </i>
    <i>
      <x v="12"/>
    </i>
    <i t="grand">
      <x/>
    </i>
  </rowItems>
  <colFields count="1">
    <field x="2"/>
  </colFields>
  <colItems count="6">
    <i>
      <x/>
    </i>
    <i>
      <x v="1"/>
    </i>
    <i>
      <x v="2"/>
    </i>
    <i>
      <x v="3"/>
    </i>
    <i>
      <x v="4"/>
    </i>
    <i t="grand">
      <x/>
    </i>
  </colItems>
  <pageFields count="1">
    <pageField fld="16" item="2" hier="-1"/>
  </pageFields>
  <dataFields count="1">
    <dataField name="Quantity by Product" fld="7" baseField="0" baseItem="0"/>
  </dataFields>
  <formats count="3">
    <format dxfId="39">
      <pivotArea outline="0" collapsedLevelsAreSubtotals="1" fieldPosition="0"/>
    </format>
    <format dxfId="38">
      <pivotArea dataOnly="0" labelOnly="1" fieldPosition="0">
        <references count="1">
          <reference field="2" count="0"/>
        </references>
      </pivotArea>
    </format>
    <format dxfId="3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1344492-244C-4C03-869D-6E3C80FD2E94}" name="PivotTable14"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 colHeaderCaption="">
  <location ref="B7:E14"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Row"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pivotField showAll="0">
      <items count="4">
        <item x="2"/>
        <item x="0"/>
        <item x="1"/>
        <item t="default"/>
      </items>
    </pivotField>
    <pivotField dataField="1" showAll="0"/>
    <pivotField showAll="0"/>
    <pivotField showAll="0"/>
    <pivotField showAll="0"/>
    <pivotField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axis="axisCol" showAll="0" defaultSubtotal="0">
      <items count="4">
        <item x="0"/>
        <item x="1"/>
        <item x="2"/>
        <item x="3"/>
      </items>
    </pivotField>
    <pivotField dragToRow="0" dragToCol="0" dragToPage="0" showAll="0" defaultSubtotal="0"/>
  </pivotFields>
  <rowFields count="1">
    <field x="2"/>
  </rowFields>
  <rowItems count="6">
    <i>
      <x/>
    </i>
    <i>
      <x v="1"/>
    </i>
    <i>
      <x v="2"/>
    </i>
    <i>
      <x v="3"/>
    </i>
    <i>
      <x v="4"/>
    </i>
    <i t="grand">
      <x/>
    </i>
  </rowItems>
  <colFields count="1">
    <field x="16"/>
  </colFields>
  <colItems count="3">
    <i>
      <x v="1"/>
    </i>
    <i>
      <x v="2"/>
    </i>
    <i t="grand">
      <x/>
    </i>
  </colItems>
  <dataFields count="1">
    <dataField name="Quantity sold by Product" fld="7" baseField="0" baseItem="0"/>
  </dataFields>
  <chartFormats count="4">
    <chartFormat chart="6" format="8" series="1">
      <pivotArea type="data" outline="0" fieldPosition="0">
        <references count="2">
          <reference field="4294967294" count="1" selected="0">
            <x v="0"/>
          </reference>
          <reference field="16" count="1" selected="0">
            <x v="1"/>
          </reference>
        </references>
      </pivotArea>
    </chartFormat>
    <chartFormat chart="6" format="9" series="1">
      <pivotArea type="data" outline="0" fieldPosition="0">
        <references count="2">
          <reference field="4294967294" count="1" selected="0">
            <x v="0"/>
          </reference>
          <reference field="16" count="1" selected="0">
            <x v="2"/>
          </reference>
        </references>
      </pivotArea>
    </chartFormat>
    <chartFormat chart="6" format="10">
      <pivotArea type="data" outline="0" fieldPosition="0">
        <references count="3">
          <reference field="4294967294" count="1" selected="0">
            <x v="0"/>
          </reference>
          <reference field="2" count="1" selected="0">
            <x v="3"/>
          </reference>
          <reference field="16" count="1" selected="0">
            <x v="2"/>
          </reference>
        </references>
      </pivotArea>
    </chartFormat>
    <chartFormat chart="6" format="11">
      <pivotArea type="data" outline="0" fieldPosition="0">
        <references count="3">
          <reference field="4294967294" count="1" selected="0">
            <x v="0"/>
          </reference>
          <reference field="2" count="1" selected="0">
            <x v="1"/>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5A438DAE-CCA3-4B7E-84E6-376B87456B8F}" name="PivotTable15"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colHeaderCaption="">
  <location ref="B18:D25"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Row" showAll="0">
      <items count="6">
        <item x="2"/>
        <item x="3"/>
        <item x="0"/>
        <item x="1"/>
        <item x="4"/>
        <item t="default"/>
      </items>
    </pivotField>
    <pivotField showAll="0"/>
    <pivotField showAll="0"/>
    <pivotField showAll="0"/>
    <pivotField showAll="0">
      <items count="4">
        <item x="2"/>
        <item x="0"/>
        <item x="1"/>
        <item t="default"/>
      </items>
    </pivotField>
    <pivotField dataField="1" showAll="0"/>
    <pivotField showAll="0"/>
    <pivotField showAll="0"/>
    <pivotField showAll="0"/>
    <pivotField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axis="axisCol" showAll="0" defaultSubtotal="0">
      <items count="4">
        <item h="1" x="0"/>
        <item h="1" x="1"/>
        <item x="2"/>
        <item h="1" x="3"/>
      </items>
    </pivotField>
    <pivotField dragToRow="0" dragToCol="0" dragToPage="0" showAll="0" defaultSubtotal="0"/>
  </pivotFields>
  <rowFields count="1">
    <field x="2"/>
  </rowFields>
  <rowItems count="6">
    <i>
      <x/>
    </i>
    <i>
      <x v="1"/>
    </i>
    <i>
      <x v="2"/>
    </i>
    <i>
      <x v="3"/>
    </i>
    <i>
      <x v="4"/>
    </i>
    <i t="grand">
      <x/>
    </i>
  </rowItems>
  <colFields count="1">
    <field x="16"/>
  </colFields>
  <colItems count="2">
    <i>
      <x v="2"/>
    </i>
    <i t="grand">
      <x/>
    </i>
  </colItems>
  <dataFields count="1">
    <dataField name="2024 Quantity sold " fld="7" baseField="0" baseItem="0"/>
  </dataFields>
  <chartFormats count="1">
    <chartFormat chart="17" format="6"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5D11B3-42FF-43F8-A9BE-88E2C0947725}" name="PivotTable12"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Year">
  <location ref="A4:B7" firstHeaderRow="1" firstDataRow="1"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pivotField showAll="0"/>
    <pivotField showAll="0"/>
    <pivotField showAll="0">
      <items count="4">
        <item x="2"/>
        <item x="0"/>
        <item x="1"/>
        <item t="default"/>
      </items>
    </pivotField>
    <pivotField showAll="0"/>
    <pivotField showAll="0"/>
    <pivotField showAll="0"/>
    <pivotField showAll="0"/>
    <pivotField dataField="1"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axis="axisRow" multipleItemSelectionAllowed="1" showAll="0" defaultSubtotal="0">
      <items count="4">
        <item x="0"/>
        <item x="1"/>
        <item x="2"/>
        <item x="3"/>
      </items>
    </pivotField>
    <pivotField dragToRow="0" dragToCol="0" dragToPage="0" showAll="0" defaultSubtotal="0"/>
  </pivotFields>
  <rowFields count="1">
    <field x="16"/>
  </rowFields>
  <rowItems count="3">
    <i>
      <x v="1"/>
    </i>
    <i>
      <x v="2"/>
    </i>
    <i t="grand">
      <x/>
    </i>
  </rowItems>
  <colItems count="1">
    <i/>
  </colItems>
  <dataFields count="1">
    <dataField name="Total Discount" fld="11" baseField="0" baseItem="0" numFmtId="1"/>
  </dataFields>
  <formats count="1">
    <format dxfId="2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C825A9D0-C82E-4F36-B9D7-D9D520AF7F95}" name="PivotTable29"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colHeaderCaption="">
  <location ref="A10:D17"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axis="axisRow"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4"/>
  </rowFields>
  <rowItems count="6">
    <i>
      <x/>
    </i>
    <i>
      <x v="1"/>
    </i>
    <i>
      <x v="2"/>
    </i>
    <i>
      <x v="3"/>
    </i>
    <i>
      <x v="4"/>
    </i>
    <i t="grand">
      <x/>
    </i>
  </rowItems>
  <colFields count="1">
    <field x="16"/>
  </colFields>
  <colItems count="3">
    <i>
      <x v="1"/>
    </i>
    <i>
      <x v="2"/>
    </i>
    <i t="grand">
      <x/>
    </i>
  </colItems>
  <dataFields count="1">
    <dataField name="Discount by Region" fld="11" baseField="0" baseItem="0"/>
  </dataFields>
  <formats count="4">
    <format dxfId="24">
      <pivotArea dataOnly="0" labelOnly="1" fieldPosition="0">
        <references count="1">
          <reference field="16" count="2">
            <x v="1"/>
            <x v="2"/>
          </reference>
        </references>
      </pivotArea>
    </format>
    <format dxfId="23">
      <pivotArea dataOnly="0" labelOnly="1" grandCol="1" outline="0" fieldPosition="0"/>
    </format>
    <format dxfId="22">
      <pivotArea field="4" type="button" dataOnly="0" labelOnly="1" outline="0" axis="axisRow"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C700E34B-286F-41EA-B1E7-5516D8522DB2}" name="PivotTable30"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olHeaderCaption="">
  <location ref="A21:D28"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Row"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2"/>
  </rowFields>
  <rowItems count="6">
    <i>
      <x/>
    </i>
    <i>
      <x v="1"/>
    </i>
    <i>
      <x v="2"/>
    </i>
    <i>
      <x v="3"/>
    </i>
    <i>
      <x v="4"/>
    </i>
    <i t="grand">
      <x/>
    </i>
  </rowItems>
  <colFields count="1">
    <field x="16"/>
  </colFields>
  <colItems count="3">
    <i>
      <x v="1"/>
    </i>
    <i>
      <x v="2"/>
    </i>
    <i t="grand">
      <x/>
    </i>
  </colItems>
  <dataFields count="1">
    <dataField name=" Discount" fld="11" baseField="0" baseItem="0"/>
  </dataFields>
  <formats count="4">
    <format dxfId="28">
      <pivotArea dataOnly="0" labelOnly="1" fieldPosition="0">
        <references count="1">
          <reference field="16" count="2">
            <x v="1"/>
            <x v="2"/>
          </reference>
        </references>
      </pivotArea>
    </format>
    <format dxfId="27">
      <pivotArea dataOnly="0" labelOnly="1" grandCol="1" outline="0" fieldPosition="0"/>
    </format>
    <format dxfId="26">
      <pivotArea field="4" type="button" dataOnly="0" labelOnly="1" outline="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E9E7374D-149F-41F9-BF99-4BBD2743361D}" name="PivotTable32"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colHeaderCaption="">
  <location ref="G5:J13"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axis="axisRow"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5"/>
  </rowFields>
  <rowItems count="7">
    <i>
      <x/>
    </i>
    <i>
      <x v="1"/>
    </i>
    <i>
      <x v="2"/>
    </i>
    <i>
      <x v="3"/>
    </i>
    <i>
      <x v="4"/>
    </i>
    <i>
      <x v="5"/>
    </i>
    <i t="grand">
      <x/>
    </i>
  </rowItems>
  <colFields count="1">
    <field x="16"/>
  </colFields>
  <colItems count="3">
    <i>
      <x v="1"/>
    </i>
    <i>
      <x v="2"/>
    </i>
    <i t="grand">
      <x/>
    </i>
  </colItems>
  <dataFields count="1">
    <dataField name="Sum of Discount" fld="11" baseField="0" baseItem="0"/>
  </dataFields>
  <formats count="4">
    <format dxfId="32">
      <pivotArea dataOnly="0" labelOnly="1" fieldPosition="0">
        <references count="1">
          <reference field="16" count="2">
            <x v="1"/>
            <x v="2"/>
          </reference>
        </references>
      </pivotArea>
    </format>
    <format dxfId="31">
      <pivotArea dataOnly="0" labelOnly="1" grandCol="1" outline="0" fieldPosition="0"/>
    </format>
    <format dxfId="30">
      <pivotArea field="4" type="button" dataOnly="0" labelOnly="1" outline="0"/>
    </format>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E4D044E7-E1EC-4368-8BE1-0142CAC6CB3E}" name="PivotTable34"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s" colHeaderCaption="">
  <location ref="G17:J31"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dataField="1" showAll="0"/>
    <pivotField showAll="0"/>
    <pivotField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15"/>
  </rowFields>
  <rowItems count="13">
    <i>
      <x v="1"/>
    </i>
    <i>
      <x v="2"/>
    </i>
    <i>
      <x v="3"/>
    </i>
    <i>
      <x v="4"/>
    </i>
    <i>
      <x v="5"/>
    </i>
    <i>
      <x v="6"/>
    </i>
    <i>
      <x v="7"/>
    </i>
    <i>
      <x v="8"/>
    </i>
    <i>
      <x v="9"/>
    </i>
    <i>
      <x v="10"/>
    </i>
    <i>
      <x v="11"/>
    </i>
    <i>
      <x v="12"/>
    </i>
    <i t="grand">
      <x/>
    </i>
  </rowItems>
  <colFields count="1">
    <field x="16"/>
  </colFields>
  <colItems count="3">
    <i>
      <x v="1"/>
    </i>
    <i>
      <x v="2"/>
    </i>
    <i t="grand">
      <x/>
    </i>
  </colItems>
  <dataFields count="1">
    <dataField name="Sum of Discount" fld="11" baseField="0" baseItem="0"/>
  </dataFields>
  <formats count="4">
    <format dxfId="36">
      <pivotArea dataOnly="0" labelOnly="1" fieldPosition="0">
        <references count="1">
          <reference field="16" count="2">
            <x v="1"/>
            <x v="2"/>
          </reference>
        </references>
      </pivotArea>
    </format>
    <format dxfId="35">
      <pivotArea dataOnly="0" labelOnly="1" grandCol="1" outline="0" fieldPosition="0"/>
    </format>
    <format dxfId="34">
      <pivotArea field="4" type="button" dataOnly="0" labelOnly="1" outline="0"/>
    </format>
    <format dxfId="33">
      <pivotArea outline="0" collapsedLevelsAreSubtotals="1" fieldPosition="0"/>
    </format>
  </formats>
  <chartFormats count="2">
    <chartFormat chart="3" format="4" series="1">
      <pivotArea type="data" outline="0" fieldPosition="0">
        <references count="2">
          <reference field="4294967294" count="1" selected="0">
            <x v="0"/>
          </reference>
          <reference field="16" count="1" selected="0">
            <x v="1"/>
          </reference>
        </references>
      </pivotArea>
    </chartFormat>
    <chartFormat chart="3"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6BFB9A06-4D09-460B-9EF5-2E39E82B8086}" name="PivotTable5"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3">
  <location ref="F29:H42" firstHeaderRow="0" firstDataRow="1" firstDataCol="1" rowPageCount="1" colPageCount="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pivotField showAll="0">
      <items count="6">
        <item x="3"/>
        <item x="0"/>
        <item x="1"/>
        <item x="4"/>
        <item x="2"/>
        <item t="default"/>
      </items>
    </pivotField>
    <pivotField showAll="0" measureFilter="1" sortType="descending">
      <items count="7">
        <item x="3"/>
        <item x="1"/>
        <item x="0"/>
        <item x="2"/>
        <item x="5"/>
        <item x="4"/>
        <item t="default"/>
      </items>
      <autoSortScope>
        <pivotArea dataOnly="0" outline="0" fieldPosition="0">
          <references count="2">
            <reference field="4294967294" count="1" selected="0">
              <x v="0"/>
            </reference>
            <reference field="16" count="1" selected="0">
              <x v="2"/>
            </reference>
          </references>
        </pivotArea>
      </autoSortScope>
    </pivotField>
    <pivotField showAll="0">
      <items count="4">
        <item x="2"/>
        <item x="0"/>
        <item x="1"/>
        <item t="default"/>
      </items>
    </pivotField>
    <pivotField showAll="0"/>
    <pivotField showAll="0"/>
    <pivotField showAll="0"/>
    <pivotField showAll="0"/>
    <pivotField showAll="0"/>
    <pivotField dataField="1" showAll="0"/>
    <pivotField dataField="1" showAll="0">
      <items count="601">
        <item x="103"/>
        <item x="142"/>
        <item x="455"/>
        <item x="203"/>
        <item x="256"/>
        <item x="346"/>
        <item x="324"/>
        <item x="17"/>
        <item x="446"/>
        <item x="420"/>
        <item x="193"/>
        <item x="202"/>
        <item x="251"/>
        <item x="499"/>
        <item x="326"/>
        <item x="489"/>
        <item x="139"/>
        <item x="425"/>
        <item x="112"/>
        <item x="54"/>
        <item x="409"/>
        <item x="372"/>
        <item x="345"/>
        <item x="157"/>
        <item x="311"/>
        <item x="230"/>
        <item x="474"/>
        <item x="88"/>
        <item x="253"/>
        <item x="163"/>
        <item x="64"/>
        <item x="273"/>
        <item x="66"/>
        <item x="77"/>
        <item x="194"/>
        <item x="515"/>
        <item x="435"/>
        <item x="23"/>
        <item x="236"/>
        <item x="124"/>
        <item x="13"/>
        <item x="405"/>
        <item x="255"/>
        <item x="246"/>
        <item x="2"/>
        <item x="341"/>
        <item x="529"/>
        <item x="276"/>
        <item x="154"/>
        <item x="558"/>
        <item x="530"/>
        <item x="269"/>
        <item x="541"/>
        <item x="505"/>
        <item x="436"/>
        <item x="306"/>
        <item x="429"/>
        <item x="562"/>
        <item x="296"/>
        <item x="234"/>
        <item x="487"/>
        <item x="426"/>
        <item x="287"/>
        <item x="483"/>
        <item x="242"/>
        <item x="335"/>
        <item x="36"/>
        <item x="560"/>
        <item x="497"/>
        <item x="134"/>
        <item x="260"/>
        <item x="56"/>
        <item x="312"/>
        <item x="125"/>
        <item x="281"/>
        <item x="441"/>
        <item x="313"/>
        <item x="169"/>
        <item x="155"/>
        <item x="106"/>
        <item x="550"/>
        <item x="280"/>
        <item x="350"/>
        <item x="508"/>
        <item x="41"/>
        <item x="571"/>
        <item x="438"/>
        <item x="547"/>
        <item x="178"/>
        <item x="445"/>
        <item x="323"/>
        <item x="291"/>
        <item x="76"/>
        <item x="575"/>
        <item x="258"/>
        <item x="490"/>
        <item x="271"/>
        <item x="556"/>
        <item x="207"/>
        <item x="235"/>
        <item x="583"/>
        <item x="102"/>
        <item x="392"/>
        <item x="290"/>
        <item x="334"/>
        <item x="21"/>
        <item x="532"/>
        <item x="79"/>
        <item x="424"/>
        <item x="566"/>
        <item x="464"/>
        <item x="266"/>
        <item x="161"/>
        <item x="209"/>
        <item x="555"/>
        <item x="69"/>
        <item x="353"/>
        <item x="356"/>
        <item x="105"/>
        <item x="252"/>
        <item x="377"/>
        <item x="50"/>
        <item x="4"/>
        <item x="404"/>
        <item x="361"/>
        <item x="431"/>
        <item x="362"/>
        <item x="357"/>
        <item x="419"/>
        <item x="421"/>
        <item x="393"/>
        <item x="301"/>
        <item x="248"/>
        <item x="241"/>
        <item x="111"/>
        <item x="319"/>
        <item x="384"/>
        <item x="200"/>
        <item x="534"/>
        <item x="444"/>
        <item x="371"/>
        <item x="237"/>
        <item x="199"/>
        <item x="264"/>
        <item x="226"/>
        <item x="517"/>
        <item x="257"/>
        <item x="261"/>
        <item x="461"/>
        <item x="183"/>
        <item x="394"/>
        <item x="277"/>
        <item x="71"/>
        <item x="286"/>
        <item x="104"/>
        <item x="164"/>
        <item x="400"/>
        <item x="351"/>
        <item x="62"/>
        <item x="352"/>
        <item x="406"/>
        <item x="158"/>
        <item x="107"/>
        <item x="289"/>
        <item x="572"/>
        <item x="433"/>
        <item x="117"/>
        <item x="432"/>
        <item x="578"/>
        <item x="545"/>
        <item x="584"/>
        <item x="463"/>
        <item x="243"/>
        <item x="531"/>
        <item x="528"/>
        <item x="110"/>
        <item x="337"/>
        <item x="170"/>
        <item x="588"/>
        <item x="538"/>
        <item x="220"/>
        <item x="138"/>
        <item x="292"/>
        <item x="145"/>
        <item x="274"/>
        <item x="561"/>
        <item x="198"/>
        <item x="573"/>
        <item x="189"/>
        <item x="116"/>
        <item x="473"/>
        <item x="448"/>
        <item x="507"/>
        <item x="284"/>
        <item x="254"/>
        <item x="460"/>
        <item x="15"/>
        <item x="129"/>
        <item x="459"/>
        <item x="375"/>
        <item x="511"/>
        <item x="585"/>
        <item x="81"/>
        <item x="93"/>
        <item x="285"/>
        <item x="5"/>
        <item x="100"/>
        <item x="119"/>
        <item x="369"/>
        <item x="135"/>
        <item x="262"/>
        <item x="80"/>
        <item x="510"/>
        <item x="343"/>
        <item x="482"/>
        <item x="153"/>
        <item x="33"/>
        <item x="574"/>
        <item x="92"/>
        <item x="249"/>
        <item x="539"/>
        <item x="6"/>
        <item x="540"/>
        <item x="133"/>
        <item x="466"/>
        <item x="300"/>
        <item x="146"/>
        <item x="59"/>
        <item x="10"/>
        <item x="29"/>
        <item x="522"/>
        <item x="577"/>
        <item x="268"/>
        <item x="9"/>
        <item x="354"/>
        <item x="70"/>
        <item x="376"/>
        <item x="108"/>
        <item x="472"/>
        <item x="595"/>
        <item x="458"/>
        <item x="344"/>
        <item x="519"/>
        <item x="219"/>
        <item x="535"/>
        <item x="484"/>
        <item x="159"/>
        <item x="495"/>
        <item x="427"/>
        <item x="175"/>
        <item x="527"/>
        <item x="563"/>
        <item x="298"/>
        <item x="90"/>
        <item x="187"/>
        <item x="468"/>
        <item x="84"/>
        <item x="39"/>
        <item x="225"/>
        <item x="598"/>
        <item x="247"/>
        <item x="486"/>
        <item x="48"/>
        <item x="415"/>
        <item x="551"/>
        <item x="121"/>
        <item x="339"/>
        <item x="488"/>
        <item x="174"/>
        <item x="554"/>
        <item x="176"/>
        <item x="399"/>
        <item x="367"/>
        <item x="223"/>
        <item x="596"/>
        <item x="127"/>
        <item x="548"/>
        <item x="128"/>
        <item x="208"/>
        <item x="131"/>
        <item x="442"/>
        <item x="407"/>
        <item x="51"/>
        <item x="599"/>
        <item x="113"/>
        <item x="191"/>
        <item x="282"/>
        <item x="523"/>
        <item x="485"/>
        <item x="99"/>
        <item x="58"/>
        <item x="150"/>
        <item x="449"/>
        <item x="543"/>
        <item x="355"/>
        <item x="173"/>
        <item x="316"/>
        <item x="568"/>
        <item x="177"/>
        <item x="206"/>
        <item x="597"/>
        <item x="239"/>
        <item x="401"/>
        <item x="89"/>
        <item x="478"/>
        <item x="91"/>
        <item x="216"/>
        <item x="227"/>
        <item x="456"/>
        <item x="591"/>
        <item x="118"/>
        <item x="19"/>
        <item x="358"/>
        <item x="479"/>
        <item x="576"/>
        <item x="210"/>
        <item x="34"/>
        <item x="496"/>
        <item x="348"/>
        <item x="265"/>
        <item x="53"/>
        <item x="114"/>
        <item x="430"/>
        <item x="68"/>
        <item x="46"/>
        <item x="579"/>
        <item x="439"/>
        <item x="140"/>
        <item x="14"/>
        <item x="386"/>
        <item x="3"/>
        <item x="454"/>
        <item x="231"/>
        <item x="403"/>
        <item x="188"/>
        <item x="238"/>
        <item x="38"/>
        <item x="60"/>
        <item x="422"/>
        <item x="294"/>
        <item x="581"/>
        <item x="65"/>
        <item x="184"/>
        <item x="101"/>
        <item x="549"/>
        <item x="564"/>
        <item x="308"/>
        <item x="205"/>
        <item x="49"/>
        <item x="325"/>
        <item x="342"/>
        <item x="332"/>
        <item x="494"/>
        <item x="63"/>
        <item x="95"/>
        <item x="481"/>
        <item x="86"/>
        <item x="349"/>
        <item x="222"/>
        <item x="167"/>
        <item x="417"/>
        <item x="526"/>
        <item x="240"/>
        <item x="569"/>
        <item x="398"/>
        <item x="380"/>
        <item x="520"/>
        <item x="28"/>
        <item x="250"/>
        <item x="391"/>
        <item x="408"/>
        <item x="383"/>
        <item x="480"/>
        <item x="514"/>
        <item x="589"/>
        <item x="587"/>
        <item x="166"/>
        <item x="263"/>
        <item x="132"/>
        <item x="218"/>
        <item x="136"/>
        <item x="378"/>
        <item x="212"/>
        <item x="366"/>
        <item x="8"/>
        <item x="24"/>
        <item x="475"/>
        <item x="546"/>
        <item x="293"/>
        <item x="109"/>
        <item x="144"/>
        <item x="504"/>
        <item x="593"/>
        <item x="542"/>
        <item x="40"/>
        <item x="503"/>
        <item x="11"/>
        <item x="74"/>
        <item x="152"/>
        <item x="270"/>
        <item x="329"/>
        <item x="122"/>
        <item x="305"/>
        <item x="567"/>
        <item x="582"/>
        <item x="411"/>
        <item x="120"/>
        <item x="509"/>
        <item x="192"/>
        <item x="533"/>
        <item x="428"/>
        <item x="96"/>
        <item x="87"/>
        <item x="381"/>
        <item x="389"/>
        <item x="172"/>
        <item x="451"/>
        <item x="151"/>
        <item x="440"/>
        <item x="476"/>
        <item x="580"/>
        <item x="126"/>
        <item x="43"/>
        <item x="321"/>
        <item x="524"/>
        <item x="368"/>
        <item x="414"/>
        <item x="557"/>
        <item x="299"/>
        <item x="586"/>
        <item x="165"/>
        <item x="137"/>
        <item x="502"/>
        <item x="467"/>
        <item x="297"/>
        <item x="44"/>
        <item x="149"/>
        <item x="278"/>
        <item x="338"/>
        <item x="536"/>
        <item x="267"/>
        <item x="452"/>
        <item x="370"/>
        <item x="197"/>
        <item x="477"/>
        <item x="500"/>
        <item x="318"/>
        <item x="245"/>
        <item x="224"/>
        <item x="42"/>
        <item x="382"/>
        <item x="221"/>
        <item x="211"/>
        <item x="72"/>
        <item x="327"/>
        <item x="196"/>
        <item x="20"/>
        <item x="516"/>
        <item x="181"/>
        <item x="85"/>
        <item x="98"/>
        <item x="521"/>
        <item x="303"/>
        <item x="314"/>
        <item x="244"/>
        <item x="418"/>
        <item x="328"/>
        <item x="423"/>
        <item x="320"/>
        <item x="82"/>
        <item x="156"/>
        <item x="437"/>
        <item x="470"/>
        <item x="148"/>
        <item x="465"/>
        <item x="57"/>
        <item x="130"/>
        <item x="180"/>
        <item x="283"/>
        <item x="443"/>
        <item x="395"/>
        <item x="295"/>
        <item x="26"/>
        <item x="97"/>
        <item x="179"/>
        <item x="565"/>
        <item x="379"/>
        <item x="7"/>
        <item x="1"/>
        <item x="73"/>
        <item x="388"/>
        <item x="412"/>
        <item x="302"/>
        <item x="168"/>
        <item x="447"/>
        <item x="592"/>
        <item x="492"/>
        <item x="37"/>
        <item x="413"/>
        <item x="331"/>
        <item x="322"/>
        <item x="390"/>
        <item x="397"/>
        <item x="373"/>
        <item x="123"/>
        <item x="94"/>
        <item x="457"/>
        <item x="47"/>
        <item x="78"/>
        <item x="512"/>
        <item x="233"/>
        <item x="30"/>
        <item x="22"/>
        <item x="493"/>
        <item x="31"/>
        <item x="552"/>
        <item x="525"/>
        <item x="45"/>
        <item x="35"/>
        <item x="141"/>
        <item x="201"/>
        <item x="75"/>
        <item x="416"/>
        <item x="115"/>
        <item x="272"/>
        <item x="340"/>
        <item x="228"/>
        <item x="310"/>
        <item x="214"/>
        <item x="410"/>
        <item x="186"/>
        <item x="402"/>
        <item x="553"/>
        <item x="374"/>
        <item x="213"/>
        <item x="61"/>
        <item x="450"/>
        <item x="215"/>
        <item x="232"/>
        <item x="544"/>
        <item x="195"/>
        <item x="396"/>
        <item x="0"/>
        <item x="217"/>
        <item x="347"/>
        <item x="25"/>
        <item x="434"/>
        <item x="570"/>
        <item x="55"/>
        <item x="336"/>
        <item x="67"/>
        <item x="498"/>
        <item x="537"/>
        <item x="162"/>
        <item x="590"/>
        <item x="330"/>
        <item x="469"/>
        <item x="491"/>
        <item x="229"/>
        <item x="143"/>
        <item x="559"/>
        <item x="288"/>
        <item x="185"/>
        <item x="364"/>
        <item x="363"/>
        <item x="259"/>
        <item x="279"/>
        <item x="16"/>
        <item x="160"/>
        <item x="307"/>
        <item x="171"/>
        <item x="594"/>
        <item x="182"/>
        <item x="190"/>
        <item x="18"/>
        <item x="385"/>
        <item x="506"/>
        <item x="471"/>
        <item x="304"/>
        <item x="27"/>
        <item x="12"/>
        <item x="317"/>
        <item x="518"/>
        <item x="32"/>
        <item x="83"/>
        <item x="359"/>
        <item x="204"/>
        <item x="275"/>
        <item x="365"/>
        <item x="462"/>
        <item x="333"/>
        <item x="309"/>
        <item x="315"/>
        <item x="513"/>
        <item x="52"/>
        <item x="453"/>
        <item x="360"/>
        <item x="147"/>
        <item x="501"/>
        <item x="387"/>
        <item t="default"/>
      </items>
    </pivotField>
    <pivotField dragToRow="0" dragToCol="0" dragToPage="0" showAll="0" defaultSubtotal="0"/>
    <pivotField axis="axisRow" showAll="0" defaultSubtotal="0">
      <items count="14">
        <item x="0"/>
        <item x="1"/>
        <item x="2"/>
        <item x="3"/>
        <item x="4"/>
        <item x="5"/>
        <item x="6"/>
        <item x="7"/>
        <item x="8"/>
        <item x="9"/>
        <item x="10"/>
        <item x="11"/>
        <item x="12"/>
        <item x="13"/>
      </items>
    </pivotField>
    <pivotField axis="axisPage" multipleItemSelectionAllowed="1" showAll="0" defaultSubtotal="0">
      <items count="4">
        <item h="1" x="0"/>
        <item h="1" x="1"/>
        <item x="2"/>
        <item h="1" x="3"/>
      </items>
    </pivotField>
    <pivotField dragToRow="0" dragToCol="0" dragToPage="0" showAll="0" defaultSubtotal="0"/>
  </pivotFields>
  <rowFields count="1">
    <field x="15"/>
  </rowFields>
  <rowItems count="13">
    <i>
      <x v="1"/>
    </i>
    <i>
      <x v="2"/>
    </i>
    <i>
      <x v="3"/>
    </i>
    <i>
      <x v="4"/>
    </i>
    <i>
      <x v="5"/>
    </i>
    <i>
      <x v="6"/>
    </i>
    <i>
      <x v="7"/>
    </i>
    <i>
      <x v="8"/>
    </i>
    <i>
      <x v="9"/>
    </i>
    <i>
      <x v="10"/>
    </i>
    <i>
      <x v="11"/>
    </i>
    <i>
      <x v="12"/>
    </i>
    <i t="grand">
      <x/>
    </i>
  </rowItems>
  <colFields count="1">
    <field x="-2"/>
  </colFields>
  <colItems count="2">
    <i>
      <x/>
    </i>
    <i i="1">
      <x v="1"/>
    </i>
  </colItems>
  <pageFields count="1">
    <pageField fld="16" hier="-1"/>
  </pageFields>
  <dataFields count="2">
    <dataField name="Net_Revenue" fld="12" baseField="0" baseItem="0"/>
    <dataField name="Profit" fld="13" baseField="0" baseItem="0"/>
  </dataFields>
  <formats count="1">
    <format dxfId="8">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31" format="11" series="1">
      <pivotArea type="data" outline="0" fieldPosition="0">
        <references count="1">
          <reference field="4294967294" count="1" selected="0">
            <x v="0"/>
          </reference>
        </references>
      </pivotArea>
    </chartFormat>
    <chartFormat chart="31" format="12" series="1">
      <pivotArea type="data" outline="0" fieldPosition="0">
        <references count="1">
          <reference field="4294967294" count="1" selected="0">
            <x v="1"/>
          </reference>
        </references>
      </pivotArea>
    </chartFormat>
    <chartFormat chart="31" format="13">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4023E4B0-0AF5-4677-83A0-12E3514F261E}" name="PivotTable1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F19:G25" firstHeaderRow="1" firstDataRow="1" firstDataCol="1" rowPageCount="1" colPageCount="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pivotField showAll="0"/>
    <pivotField axis="axisRow" showAll="0">
      <items count="6">
        <item x="3"/>
        <item x="0"/>
        <item x="1"/>
        <item x="4"/>
        <item x="2"/>
        <item t="default"/>
      </items>
    </pivotField>
    <pivotField showAll="0"/>
    <pivotField showAll="0">
      <items count="4">
        <item x="2"/>
        <item x="0"/>
        <item x="1"/>
        <item t="default"/>
      </items>
    </pivotField>
    <pivotField showAll="0"/>
    <pivotField showAll="0"/>
    <pivotField showAll="0"/>
    <pivotField showAll="0"/>
    <pivotField showAll="0"/>
    <pivotField showAll="0"/>
    <pivotField dataField="1" showAll="0"/>
    <pivotField dragToRow="0" dragToCol="0" dragToPage="0" showAll="0" defaultSubtotal="0"/>
    <pivotField showAll="0" defaultSubtotal="0">
      <items count="14">
        <item x="0"/>
        <item x="1"/>
        <item x="2"/>
        <item x="3"/>
        <item x="4"/>
        <item x="5"/>
        <item x="6"/>
        <item x="7"/>
        <item x="8"/>
        <item x="9"/>
        <item x="10"/>
        <item x="11"/>
        <item x="12"/>
        <item x="13"/>
      </items>
    </pivotField>
    <pivotField axis="axisPage" multipleItemSelectionAllowed="1" showAll="0" defaultSubtotal="0">
      <items count="4">
        <item h="1" x="0"/>
        <item h="1" x="1"/>
        <item x="2"/>
        <item h="1" x="3"/>
      </items>
    </pivotField>
    <pivotField dragToRow="0" dragToCol="0" dragToPage="0" showAll="0" defaultSubtotal="0"/>
  </pivotFields>
  <rowFields count="1">
    <field x="4"/>
  </rowFields>
  <rowItems count="6">
    <i>
      <x/>
    </i>
    <i>
      <x v="1"/>
    </i>
    <i>
      <x v="2"/>
    </i>
    <i>
      <x v="3"/>
    </i>
    <i>
      <x v="4"/>
    </i>
    <i t="grand">
      <x/>
    </i>
  </rowItems>
  <colItems count="1">
    <i/>
  </colItems>
  <pageFields count="1">
    <pageField fld="16" hier="-1"/>
  </pageFields>
  <dataFields count="1">
    <dataField name=" PROFIT" fld="13" baseField="0" baseItem="0" numFmtId="1"/>
  </dataFields>
  <formats count="1">
    <format dxfId="9">
      <pivotArea outline="0" collapsedLevelsAreSubtotals="1" fieldPosition="0"/>
    </format>
  </formats>
  <chartFormats count="6">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4" count="1" selected="0">
            <x v="0"/>
          </reference>
        </references>
      </pivotArea>
    </chartFormat>
    <chartFormat chart="8" format="14">
      <pivotArea type="data" outline="0" fieldPosition="0">
        <references count="2">
          <reference field="4294967294" count="1" selected="0">
            <x v="0"/>
          </reference>
          <reference field="4" count="1" selected="0">
            <x v="1"/>
          </reference>
        </references>
      </pivotArea>
    </chartFormat>
    <chartFormat chart="8" format="15">
      <pivotArea type="data" outline="0" fieldPosition="0">
        <references count="2">
          <reference field="4294967294" count="1" selected="0">
            <x v="0"/>
          </reference>
          <reference field="4" count="1" selected="0">
            <x v="2"/>
          </reference>
        </references>
      </pivotArea>
    </chartFormat>
    <chartFormat chart="8" format="16">
      <pivotArea type="data" outline="0" fieldPosition="0">
        <references count="2">
          <reference field="4294967294" count="1" selected="0">
            <x v="0"/>
          </reference>
          <reference field="4" count="1" selected="0">
            <x v="3"/>
          </reference>
        </references>
      </pivotArea>
    </chartFormat>
    <chartFormat chart="8"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CFE20DCF-98BE-41C5-93F0-9DF6E44556C5}" name="PivotTable9"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5:B8" firstHeaderRow="1" firstDataRow="1"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 dragToRow="0" dragToCol="0" dragToPage="0" showAll="0" defaultSubtotal="0"/>
  </pivotFields>
  <rowFields count="1">
    <field x="16"/>
  </rowFields>
  <rowItems count="3">
    <i>
      <x v="1"/>
    </i>
    <i>
      <x v="2"/>
    </i>
    <i t="grand">
      <x/>
    </i>
  </rowItems>
  <colItems count="1">
    <i/>
  </colItems>
  <dataFields count="1">
    <dataField name="Total Profit" fld="13" baseField="0" baseItem="0" numFmtId="1"/>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ECC4B1D7-28A5-4CBF-92CE-9C781C23BF1C}" name="PivotTable36"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0" colHeaderCaption="">
  <location ref="A23:C30"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Row" showAll="0">
      <items count="6">
        <item x="2"/>
        <item x="3"/>
        <item x="0"/>
        <item x="1"/>
        <item x="4"/>
        <item t="default"/>
      </items>
    </pivotField>
    <pivotField showAll="0"/>
    <pivotField showAll="0">
      <items count="6">
        <item x="3"/>
        <item x="0"/>
        <item x="1"/>
        <item x="4"/>
        <item x="2"/>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dataField="1" dragToRow="0" dragToCol="0" dragToPage="0" showAll="0" defaultSubtotal="0"/>
    <pivotField showAll="0" defaultSubtotal="0">
      <items count="14">
        <item x="0"/>
        <item x="1"/>
        <item x="2"/>
        <item x="3"/>
        <item x="4"/>
        <item x="5"/>
        <item x="6"/>
        <item x="7"/>
        <item x="8"/>
        <item x="9"/>
        <item x="10"/>
        <item x="11"/>
        <item x="12"/>
        <item x="13"/>
      </items>
    </pivotField>
    <pivotField axis="axisCol" showAll="0" defaultSubtotal="0">
      <items count="4">
        <item x="0"/>
        <item x="1"/>
        <item x="2"/>
        <item x="3"/>
      </items>
    </pivotField>
    <pivotField dragToRow="0" dragToCol="0" dragToPage="0" showAll="0" defaultSubtotal="0"/>
  </pivotFields>
  <rowFields count="1">
    <field x="2"/>
  </rowFields>
  <rowItems count="6">
    <i>
      <x/>
    </i>
    <i>
      <x v="1"/>
    </i>
    <i>
      <x v="2"/>
    </i>
    <i>
      <x v="3"/>
    </i>
    <i>
      <x v="4"/>
    </i>
    <i t="grand">
      <x/>
    </i>
  </rowItems>
  <colFields count="1">
    <field x="16"/>
  </colFields>
  <colItems count="2">
    <i>
      <x v="1"/>
    </i>
    <i>
      <x v="2"/>
    </i>
  </colItems>
  <dataFields count="1">
    <dataField name="Profit margin by Product" fld="14" baseField="0" baseItem="0" numFmtId="2"/>
  </dataFields>
  <formats count="3">
    <format dxfId="13">
      <pivotArea outline="0" collapsedLevelsAreSubtotals="1" fieldPosition="0">
        <references count="1">
          <reference field="4294967294" count="1" selected="0">
            <x v="0"/>
          </reference>
        </references>
      </pivotArea>
    </format>
    <format dxfId="12">
      <pivotArea dataOnly="0" labelOnly="1" fieldPosition="0">
        <references count="1">
          <reference field="16" count="1">
            <x v="1"/>
          </reference>
        </references>
      </pivotArea>
    </format>
    <format dxfId="11">
      <pivotArea dataOnly="0" labelOnly="1" fieldPosition="0">
        <references count="1">
          <reference field="16" count="1">
            <x v="2"/>
          </reference>
        </references>
      </pivotArea>
    </format>
  </formats>
  <chartFormats count="7">
    <chartFormat chart="12" format="33" series="1">
      <pivotArea type="data" outline="0" fieldPosition="0">
        <references count="2">
          <reference field="4294967294" count="1" selected="0">
            <x v="0"/>
          </reference>
          <reference field="16" count="1" selected="0">
            <x v="1"/>
          </reference>
        </references>
      </pivotArea>
    </chartFormat>
    <chartFormat chart="12" format="34">
      <pivotArea type="data" outline="0" fieldPosition="0">
        <references count="3">
          <reference field="4294967294" count="1" selected="0">
            <x v="0"/>
          </reference>
          <reference field="2" count="1" selected="0">
            <x v="4"/>
          </reference>
          <reference field="16" count="1" selected="0">
            <x v="1"/>
          </reference>
        </references>
      </pivotArea>
    </chartFormat>
    <chartFormat chart="12" format="35" series="1">
      <pivotArea type="data" outline="0" fieldPosition="0">
        <references count="2">
          <reference field="4294967294" count="1" selected="0">
            <x v="0"/>
          </reference>
          <reference field="16" count="1" selected="0">
            <x v="2"/>
          </reference>
        </references>
      </pivotArea>
    </chartFormat>
    <chartFormat chart="12" format="36">
      <pivotArea type="data" outline="0" fieldPosition="0">
        <references count="3">
          <reference field="4294967294" count="1" selected="0">
            <x v="0"/>
          </reference>
          <reference field="2" count="1" selected="0">
            <x v="0"/>
          </reference>
          <reference field="16" count="1" selected="0">
            <x v="2"/>
          </reference>
        </references>
      </pivotArea>
    </chartFormat>
    <chartFormat chart="12" format="37">
      <pivotArea type="data" outline="0" fieldPosition="0">
        <references count="3">
          <reference field="4294967294" count="1" selected="0">
            <x v="0"/>
          </reference>
          <reference field="2" count="1" selected="0">
            <x v="3"/>
          </reference>
          <reference field="16" count="1" selected="0">
            <x v="2"/>
          </reference>
        </references>
      </pivotArea>
    </chartFormat>
    <chartFormat chart="12" format="38">
      <pivotArea type="data" outline="0" fieldPosition="0">
        <references count="3">
          <reference field="4294967294" count="1" selected="0">
            <x v="0"/>
          </reference>
          <reference field="2" count="1" selected="0">
            <x v="4"/>
          </reference>
          <reference field="16" count="1" selected="0">
            <x v="2"/>
          </reference>
        </references>
      </pivotArea>
    </chartFormat>
    <chartFormat chart="12" format="3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47AB8251-99E1-40CD-9F82-07F234DA1711}" name="PivotTable7"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colHeaderCaption="">
  <location ref="A12:D19"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Row"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2"/>
  </rowFields>
  <rowItems count="6">
    <i>
      <x/>
    </i>
    <i>
      <x v="1"/>
    </i>
    <i>
      <x v="2"/>
    </i>
    <i>
      <x v="3"/>
    </i>
    <i>
      <x v="4"/>
    </i>
    <i t="grand">
      <x/>
    </i>
  </rowItems>
  <colFields count="1">
    <field x="16"/>
  </colFields>
  <colItems count="3">
    <i>
      <x v="1"/>
    </i>
    <i>
      <x v="2"/>
    </i>
    <i t="grand">
      <x/>
    </i>
  </colItems>
  <dataFields count="1">
    <dataField name="Profit" fld="13" baseField="0" baseItem="0" numFmtId="1"/>
  </dataFields>
  <formats count="3">
    <format dxfId="16">
      <pivotArea dataOnly="0" labelOnly="1" fieldPosition="0">
        <references count="1">
          <reference field="16" count="1">
            <x v="1"/>
          </reference>
        </references>
      </pivotArea>
    </format>
    <format dxfId="15">
      <pivotArea dataOnly="0" labelOnly="1" fieldPosition="0">
        <references count="1">
          <reference field="16" count="1">
            <x v="2"/>
          </reference>
        </references>
      </pivotArea>
    </format>
    <format dxfId="14">
      <pivotArea outline="0" collapsedLevelsAreSubtotals="1" fieldPosition="0"/>
    </format>
  </formats>
  <chartFormats count="2">
    <chartFormat chart="5" format="4" series="1">
      <pivotArea type="data" outline="0" fieldPosition="0">
        <references count="2">
          <reference field="4294967294" count="1" selected="0">
            <x v="0"/>
          </reference>
          <reference field="16" count="1" selected="0">
            <x v="1"/>
          </reference>
        </references>
      </pivotArea>
    </chartFormat>
    <chartFormat chart="5"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6E40EEA8-F73D-45B4-86CF-4987900740D4}" name="PivotTable27"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colHeaderCaption="">
  <location ref="F5:I12"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axis="axisRow"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4"/>
  </rowFields>
  <rowItems count="6">
    <i>
      <x/>
    </i>
    <i>
      <x v="1"/>
    </i>
    <i>
      <x v="2"/>
    </i>
    <i>
      <x v="3"/>
    </i>
    <i>
      <x v="4"/>
    </i>
    <i t="grand">
      <x/>
    </i>
  </rowItems>
  <colFields count="1">
    <field x="16"/>
  </colFields>
  <colItems count="3">
    <i>
      <x v="1"/>
    </i>
    <i>
      <x v="2"/>
    </i>
    <i t="grand">
      <x/>
    </i>
  </colItems>
  <dataFields count="1">
    <dataField name="Profit by Region" fld="13" baseField="0" baseItem="0" numFmtId="1"/>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4D46D871-A88A-4C4A-964A-05F464EFD25F}" name="PivotTable11"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location ref="A36:D37" firstHeaderRow="0" firstDataRow="1" firstDataCol="0" rowPageCount="1" colPageCount="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pivotField showAll="0">
      <items count="6">
        <item x="3"/>
        <item x="0"/>
        <item x="1"/>
        <item x="4"/>
        <item x="2"/>
        <item t="default"/>
      </items>
    </pivotField>
    <pivotField showAll="0"/>
    <pivotField showAll="0">
      <items count="4">
        <item x="2"/>
        <item x="0"/>
        <item x="1"/>
        <item t="default"/>
      </items>
    </pivotField>
    <pivotField showAll="0"/>
    <pivotField showAll="0"/>
    <pivotField showAll="0"/>
    <pivotField dataField="1" showAll="0"/>
    <pivotField showAll="0"/>
    <pivotField dataField="1" showAll="0"/>
    <pivotField dataField="1" showAll="0">
      <items count="601">
        <item x="103"/>
        <item x="142"/>
        <item x="455"/>
        <item x="203"/>
        <item x="256"/>
        <item x="346"/>
        <item x="324"/>
        <item x="17"/>
        <item x="446"/>
        <item x="420"/>
        <item x="193"/>
        <item x="202"/>
        <item x="251"/>
        <item x="499"/>
        <item x="326"/>
        <item x="489"/>
        <item x="139"/>
        <item x="425"/>
        <item x="112"/>
        <item x="54"/>
        <item x="409"/>
        <item x="372"/>
        <item x="345"/>
        <item x="157"/>
        <item x="311"/>
        <item x="230"/>
        <item x="474"/>
        <item x="88"/>
        <item x="253"/>
        <item x="163"/>
        <item x="64"/>
        <item x="273"/>
        <item x="66"/>
        <item x="77"/>
        <item x="194"/>
        <item x="515"/>
        <item x="435"/>
        <item x="23"/>
        <item x="236"/>
        <item x="124"/>
        <item x="13"/>
        <item x="405"/>
        <item x="255"/>
        <item x="246"/>
        <item x="2"/>
        <item x="341"/>
        <item x="529"/>
        <item x="276"/>
        <item x="154"/>
        <item x="558"/>
        <item x="530"/>
        <item x="269"/>
        <item x="541"/>
        <item x="505"/>
        <item x="436"/>
        <item x="306"/>
        <item x="429"/>
        <item x="562"/>
        <item x="296"/>
        <item x="234"/>
        <item x="487"/>
        <item x="426"/>
        <item x="287"/>
        <item x="483"/>
        <item x="242"/>
        <item x="335"/>
        <item x="36"/>
        <item x="560"/>
        <item x="497"/>
        <item x="134"/>
        <item x="260"/>
        <item x="56"/>
        <item x="312"/>
        <item x="125"/>
        <item x="281"/>
        <item x="441"/>
        <item x="313"/>
        <item x="169"/>
        <item x="155"/>
        <item x="106"/>
        <item x="550"/>
        <item x="280"/>
        <item x="350"/>
        <item x="508"/>
        <item x="41"/>
        <item x="571"/>
        <item x="438"/>
        <item x="547"/>
        <item x="178"/>
        <item x="445"/>
        <item x="323"/>
        <item x="291"/>
        <item x="76"/>
        <item x="575"/>
        <item x="258"/>
        <item x="490"/>
        <item x="271"/>
        <item x="556"/>
        <item x="207"/>
        <item x="235"/>
        <item x="583"/>
        <item x="102"/>
        <item x="392"/>
        <item x="290"/>
        <item x="334"/>
        <item x="21"/>
        <item x="532"/>
        <item x="79"/>
        <item x="424"/>
        <item x="566"/>
        <item x="464"/>
        <item x="266"/>
        <item x="161"/>
        <item x="209"/>
        <item x="555"/>
        <item x="69"/>
        <item x="353"/>
        <item x="356"/>
        <item x="105"/>
        <item x="252"/>
        <item x="377"/>
        <item x="50"/>
        <item x="4"/>
        <item x="404"/>
        <item x="361"/>
        <item x="431"/>
        <item x="362"/>
        <item x="357"/>
        <item x="419"/>
        <item x="421"/>
        <item x="393"/>
        <item x="301"/>
        <item x="248"/>
        <item x="241"/>
        <item x="111"/>
        <item x="319"/>
        <item x="384"/>
        <item x="200"/>
        <item x="534"/>
        <item x="444"/>
        <item x="371"/>
        <item x="237"/>
        <item x="199"/>
        <item x="264"/>
        <item x="226"/>
        <item x="517"/>
        <item x="257"/>
        <item x="261"/>
        <item x="461"/>
        <item x="183"/>
        <item x="394"/>
        <item x="277"/>
        <item x="71"/>
        <item x="286"/>
        <item x="104"/>
        <item x="164"/>
        <item x="400"/>
        <item x="351"/>
        <item x="62"/>
        <item x="352"/>
        <item x="406"/>
        <item x="158"/>
        <item x="107"/>
        <item x="289"/>
        <item x="572"/>
        <item x="433"/>
        <item x="117"/>
        <item x="432"/>
        <item x="578"/>
        <item x="545"/>
        <item x="584"/>
        <item x="463"/>
        <item x="243"/>
        <item x="531"/>
        <item x="528"/>
        <item x="110"/>
        <item x="337"/>
        <item x="170"/>
        <item x="588"/>
        <item x="538"/>
        <item x="220"/>
        <item x="138"/>
        <item x="292"/>
        <item x="145"/>
        <item x="274"/>
        <item x="561"/>
        <item x="198"/>
        <item x="573"/>
        <item x="189"/>
        <item x="116"/>
        <item x="473"/>
        <item x="448"/>
        <item x="507"/>
        <item x="284"/>
        <item x="254"/>
        <item x="460"/>
        <item x="15"/>
        <item x="129"/>
        <item x="459"/>
        <item x="375"/>
        <item x="511"/>
        <item x="585"/>
        <item x="81"/>
        <item x="93"/>
        <item x="285"/>
        <item x="5"/>
        <item x="100"/>
        <item x="119"/>
        <item x="369"/>
        <item x="135"/>
        <item x="262"/>
        <item x="80"/>
        <item x="510"/>
        <item x="343"/>
        <item x="482"/>
        <item x="153"/>
        <item x="33"/>
        <item x="574"/>
        <item x="92"/>
        <item x="249"/>
        <item x="539"/>
        <item x="6"/>
        <item x="540"/>
        <item x="133"/>
        <item x="466"/>
        <item x="300"/>
        <item x="146"/>
        <item x="59"/>
        <item x="10"/>
        <item x="29"/>
        <item x="522"/>
        <item x="577"/>
        <item x="268"/>
        <item x="9"/>
        <item x="354"/>
        <item x="70"/>
        <item x="376"/>
        <item x="108"/>
        <item x="472"/>
        <item x="595"/>
        <item x="458"/>
        <item x="344"/>
        <item x="519"/>
        <item x="219"/>
        <item x="535"/>
        <item x="484"/>
        <item x="159"/>
        <item x="495"/>
        <item x="427"/>
        <item x="175"/>
        <item x="527"/>
        <item x="563"/>
        <item x="298"/>
        <item x="90"/>
        <item x="187"/>
        <item x="468"/>
        <item x="84"/>
        <item x="39"/>
        <item x="225"/>
        <item x="598"/>
        <item x="247"/>
        <item x="486"/>
        <item x="48"/>
        <item x="415"/>
        <item x="551"/>
        <item x="121"/>
        <item x="339"/>
        <item x="488"/>
        <item x="174"/>
        <item x="554"/>
        <item x="176"/>
        <item x="399"/>
        <item x="367"/>
        <item x="223"/>
        <item x="596"/>
        <item x="127"/>
        <item x="548"/>
        <item x="128"/>
        <item x="208"/>
        <item x="131"/>
        <item x="442"/>
        <item x="407"/>
        <item x="51"/>
        <item x="599"/>
        <item x="113"/>
        <item x="191"/>
        <item x="282"/>
        <item x="523"/>
        <item x="485"/>
        <item x="99"/>
        <item x="58"/>
        <item x="150"/>
        <item x="449"/>
        <item x="543"/>
        <item x="355"/>
        <item x="173"/>
        <item x="316"/>
        <item x="568"/>
        <item x="177"/>
        <item x="206"/>
        <item x="597"/>
        <item x="239"/>
        <item x="401"/>
        <item x="89"/>
        <item x="478"/>
        <item x="91"/>
        <item x="216"/>
        <item x="227"/>
        <item x="456"/>
        <item x="591"/>
        <item x="118"/>
        <item x="19"/>
        <item x="358"/>
        <item x="479"/>
        <item x="576"/>
        <item x="210"/>
        <item x="34"/>
        <item x="496"/>
        <item x="348"/>
        <item x="265"/>
        <item x="53"/>
        <item x="114"/>
        <item x="430"/>
        <item x="68"/>
        <item x="46"/>
        <item x="579"/>
        <item x="439"/>
        <item x="140"/>
        <item x="14"/>
        <item x="386"/>
        <item x="3"/>
        <item x="454"/>
        <item x="231"/>
        <item x="403"/>
        <item x="188"/>
        <item x="238"/>
        <item x="38"/>
        <item x="60"/>
        <item x="422"/>
        <item x="294"/>
        <item x="581"/>
        <item x="65"/>
        <item x="184"/>
        <item x="101"/>
        <item x="549"/>
        <item x="564"/>
        <item x="308"/>
        <item x="205"/>
        <item x="49"/>
        <item x="325"/>
        <item x="342"/>
        <item x="332"/>
        <item x="494"/>
        <item x="63"/>
        <item x="95"/>
        <item x="481"/>
        <item x="86"/>
        <item x="349"/>
        <item x="222"/>
        <item x="167"/>
        <item x="417"/>
        <item x="526"/>
        <item x="240"/>
        <item x="569"/>
        <item x="398"/>
        <item x="380"/>
        <item x="520"/>
        <item x="28"/>
        <item x="250"/>
        <item x="391"/>
        <item x="408"/>
        <item x="383"/>
        <item x="480"/>
        <item x="514"/>
        <item x="589"/>
        <item x="587"/>
        <item x="166"/>
        <item x="263"/>
        <item x="132"/>
        <item x="218"/>
        <item x="136"/>
        <item x="378"/>
        <item x="212"/>
        <item x="366"/>
        <item x="8"/>
        <item x="24"/>
        <item x="475"/>
        <item x="546"/>
        <item x="293"/>
        <item x="109"/>
        <item x="144"/>
        <item x="504"/>
        <item x="593"/>
        <item x="542"/>
        <item x="40"/>
        <item x="503"/>
        <item x="11"/>
        <item x="74"/>
        <item x="152"/>
        <item x="270"/>
        <item x="329"/>
        <item x="122"/>
        <item x="305"/>
        <item x="567"/>
        <item x="582"/>
        <item x="411"/>
        <item x="120"/>
        <item x="509"/>
        <item x="192"/>
        <item x="533"/>
        <item x="428"/>
        <item x="96"/>
        <item x="87"/>
        <item x="381"/>
        <item x="389"/>
        <item x="172"/>
        <item x="451"/>
        <item x="151"/>
        <item x="440"/>
        <item x="476"/>
        <item x="580"/>
        <item x="126"/>
        <item x="43"/>
        <item x="321"/>
        <item x="524"/>
        <item x="368"/>
        <item x="414"/>
        <item x="557"/>
        <item x="299"/>
        <item x="586"/>
        <item x="165"/>
        <item x="137"/>
        <item x="502"/>
        <item x="467"/>
        <item x="297"/>
        <item x="44"/>
        <item x="149"/>
        <item x="278"/>
        <item x="338"/>
        <item x="536"/>
        <item x="267"/>
        <item x="452"/>
        <item x="370"/>
        <item x="197"/>
        <item x="477"/>
        <item x="500"/>
        <item x="318"/>
        <item x="245"/>
        <item x="224"/>
        <item x="42"/>
        <item x="382"/>
        <item x="221"/>
        <item x="211"/>
        <item x="72"/>
        <item x="327"/>
        <item x="196"/>
        <item x="20"/>
        <item x="516"/>
        <item x="181"/>
        <item x="85"/>
        <item x="98"/>
        <item x="521"/>
        <item x="303"/>
        <item x="314"/>
        <item x="244"/>
        <item x="418"/>
        <item x="328"/>
        <item x="423"/>
        <item x="320"/>
        <item x="82"/>
        <item x="156"/>
        <item x="437"/>
        <item x="470"/>
        <item x="148"/>
        <item x="465"/>
        <item x="57"/>
        <item x="130"/>
        <item x="180"/>
        <item x="283"/>
        <item x="443"/>
        <item x="395"/>
        <item x="295"/>
        <item x="26"/>
        <item x="97"/>
        <item x="179"/>
        <item x="565"/>
        <item x="379"/>
        <item x="7"/>
        <item x="1"/>
        <item x="73"/>
        <item x="388"/>
        <item x="412"/>
        <item x="302"/>
        <item x="168"/>
        <item x="447"/>
        <item x="592"/>
        <item x="492"/>
        <item x="37"/>
        <item x="413"/>
        <item x="331"/>
        <item x="322"/>
        <item x="390"/>
        <item x="397"/>
        <item x="373"/>
        <item x="123"/>
        <item x="94"/>
        <item x="457"/>
        <item x="47"/>
        <item x="78"/>
        <item x="512"/>
        <item x="233"/>
        <item x="30"/>
        <item x="22"/>
        <item x="493"/>
        <item x="31"/>
        <item x="552"/>
        <item x="525"/>
        <item x="45"/>
        <item x="35"/>
        <item x="141"/>
        <item x="201"/>
        <item x="75"/>
        <item x="416"/>
        <item x="115"/>
        <item x="272"/>
        <item x="340"/>
        <item x="228"/>
        <item x="310"/>
        <item x="214"/>
        <item x="410"/>
        <item x="186"/>
        <item x="402"/>
        <item x="553"/>
        <item x="374"/>
        <item x="213"/>
        <item x="61"/>
        <item x="450"/>
        <item x="215"/>
        <item x="232"/>
        <item x="544"/>
        <item x="195"/>
        <item x="396"/>
        <item x="0"/>
        <item x="217"/>
        <item x="347"/>
        <item x="25"/>
        <item x="434"/>
        <item x="570"/>
        <item x="55"/>
        <item x="336"/>
        <item x="67"/>
        <item x="498"/>
        <item x="537"/>
        <item x="162"/>
        <item x="590"/>
        <item x="330"/>
        <item x="469"/>
        <item x="491"/>
        <item x="229"/>
        <item x="143"/>
        <item x="559"/>
        <item x="288"/>
        <item x="185"/>
        <item x="364"/>
        <item x="363"/>
        <item x="259"/>
        <item x="279"/>
        <item x="16"/>
        <item x="160"/>
        <item x="307"/>
        <item x="171"/>
        <item x="594"/>
        <item x="182"/>
        <item x="190"/>
        <item x="18"/>
        <item x="385"/>
        <item x="506"/>
        <item x="471"/>
        <item x="304"/>
        <item x="27"/>
        <item x="12"/>
        <item x="317"/>
        <item x="518"/>
        <item x="32"/>
        <item x="83"/>
        <item x="359"/>
        <item x="204"/>
        <item x="275"/>
        <item x="365"/>
        <item x="462"/>
        <item x="333"/>
        <item x="309"/>
        <item x="315"/>
        <item x="513"/>
        <item x="52"/>
        <item x="453"/>
        <item x="360"/>
        <item x="147"/>
        <item x="501"/>
        <item x="387"/>
        <item t="default"/>
      </items>
    </pivotField>
    <pivotField dataField="1" dragToRow="0" dragToCol="0" dragToPage="0" showAll="0" defaultSubtotal="0"/>
    <pivotField showAll="0" defaultSubtotal="0">
      <items count="14">
        <item x="0"/>
        <item x="1"/>
        <item x="2"/>
        <item x="3"/>
        <item x="4"/>
        <item x="5"/>
        <item x="6"/>
        <item x="7"/>
        <item x="8"/>
        <item x="9"/>
        <item x="10"/>
        <item x="11"/>
        <item x="12"/>
        <item x="13"/>
      </items>
    </pivotField>
    <pivotField axis="axisPage" multipleItemSelectionAllowed="1" showAll="0" defaultSubtotal="0">
      <items count="4">
        <item h="1" x="0"/>
        <item h="1" x="1"/>
        <item x="2"/>
        <item h="1" x="3"/>
      </items>
    </pivotField>
    <pivotField dragToRow="0" dragToCol="0" dragToPage="0" showAll="0" defaultSubtotal="0"/>
  </pivotFields>
  <rowItems count="1">
    <i/>
  </rowItems>
  <colFields count="1">
    <field x="-2"/>
  </colFields>
  <colItems count="4">
    <i>
      <x/>
    </i>
    <i i="1">
      <x v="1"/>
    </i>
    <i i="2">
      <x v="2"/>
    </i>
    <i i="3">
      <x v="3"/>
    </i>
  </colItems>
  <pageFields count="1">
    <pageField fld="16" hier="-1"/>
  </pageFields>
  <dataFields count="4">
    <dataField name="Sum of Cost" fld="10" baseField="0" baseItem="0" numFmtId="1"/>
    <dataField name="Sum of Net_Revenue" fld="12" baseField="0" baseItem="0" numFmtId="1"/>
    <dataField name="Sum of PROFIT" fld="13" baseField="0" baseItem="0" numFmtId="1"/>
    <dataField name="Sum of Profit margin" fld="14" baseField="0" baseItem="0" numFmtId="9"/>
  </dataFields>
  <formats count="2">
    <format dxfId="19">
      <pivotArea outline="0" collapsedLevelsAreSubtotals="1" fieldPosition="0">
        <references count="1">
          <reference field="4294967294" count="1" selected="0">
            <x v="3"/>
          </reference>
        </references>
      </pivotArea>
    </format>
    <format dxfId="18">
      <pivotArea outline="0" collapsedLevelsAreSubtotals="1" fieldPosition="0">
        <references count="1">
          <reference field="4294967294" count="3" selected="0">
            <x v="0"/>
            <x v="1"/>
            <x v="2"/>
          </reference>
        </references>
      </pivotArea>
    </format>
  </formats>
  <chartFormats count="8">
    <chartFormat chart="1" format="4" series="1">
      <pivotArea type="data" outline="0" fieldPosition="0"/>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2">
          <reference field="4294967294" count="1" selected="0">
            <x v="1"/>
          </reference>
          <reference field="16" count="1" selected="0">
            <x v="2"/>
          </reference>
        </references>
      </pivotArea>
    </chartFormat>
    <chartFormat chart="1" format="7" series="1">
      <pivotArea type="data" outline="0" fieldPosition="0">
        <references count="2">
          <reference field="4294967294" count="1" selected="0">
            <x v="2"/>
          </reference>
          <reference field="16" count="1" selected="0">
            <x v="2"/>
          </reference>
        </references>
      </pivotArea>
    </chartFormat>
    <chartFormat chart="1" format="8" series="1">
      <pivotArea type="data" outline="0" fieldPosition="0">
        <references count="2">
          <reference field="4294967294" count="1" selected="0">
            <x v="3"/>
          </reference>
          <reference field="16" count="1" selected="0">
            <x v="2"/>
          </reference>
        </references>
      </pivotArea>
    </chartFormat>
    <chartFormat chart="1" format="9" series="1">
      <pivotArea type="data" outline="0" fieldPosition="0">
        <references count="1">
          <reference field="4294967294" count="1" selected="0">
            <x v="1"/>
          </reference>
        </references>
      </pivotArea>
    </chartFormat>
    <chartFormat chart="1" format="10" series="1">
      <pivotArea type="data" outline="0" fieldPosition="0">
        <references count="1">
          <reference field="4294967294" count="1" selected="0">
            <x v="2"/>
          </reference>
        </references>
      </pivotArea>
    </chartFormat>
    <chartFormat chart="1"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4B3B2A7B-0C23-4525-BFC4-535FEF72EAF7}" name="PivotTable10"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4:B10" firstHeaderRow="1" firstDataRow="1"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axis="axisRow"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Fields count="1">
    <field x="2"/>
  </rowFields>
  <rowItems count="6">
    <i>
      <x/>
    </i>
    <i>
      <x v="1"/>
    </i>
    <i>
      <x v="2"/>
    </i>
    <i>
      <x v="3"/>
    </i>
    <i>
      <x v="4"/>
    </i>
    <i t="grand">
      <x/>
    </i>
  </rowItems>
  <colItems count="1">
    <i/>
  </colItems>
  <dataFields count="1">
    <dataField name="Cost" fld="10"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8E982592-2DAD-4460-AFDA-2089D55E854E}" name="PivotTable11" cacheId="5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rowHeaderCaption="Months" colHeaderCaption="">
  <location ref="A15:C29"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dataField="1" showAll="0"/>
    <pivotField showAll="0"/>
    <pivotField showAll="0"/>
    <pivotField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Col" showAll="0">
      <items count="5">
        <item x="0"/>
        <item sd="0" x="1"/>
        <item sd="0" x="2"/>
        <item x="3"/>
        <item t="default"/>
      </items>
    </pivotField>
    <pivotField dragToRow="0" dragToCol="0" dragToPage="0" showAll="0" defaultSubtotal="0"/>
  </pivotFields>
  <rowFields count="1">
    <field x="15"/>
  </rowFields>
  <rowItems count="13">
    <i>
      <x v="1"/>
    </i>
    <i>
      <x v="2"/>
    </i>
    <i>
      <x v="3"/>
    </i>
    <i>
      <x v="4"/>
    </i>
    <i>
      <x v="5"/>
    </i>
    <i>
      <x v="6"/>
    </i>
    <i>
      <x v="7"/>
    </i>
    <i>
      <x v="8"/>
    </i>
    <i>
      <x v="9"/>
    </i>
    <i>
      <x v="10"/>
    </i>
    <i>
      <x v="11"/>
    </i>
    <i>
      <x v="12"/>
    </i>
    <i t="grand">
      <x/>
    </i>
  </rowItems>
  <colFields count="1">
    <field x="16"/>
  </colFields>
  <colItems count="2">
    <i>
      <x v="1"/>
    </i>
    <i>
      <x v="2"/>
    </i>
  </colItems>
  <dataFields count="1">
    <dataField name="Monthly Cost" fld="10" baseField="0" baseItem="0" numFmtId="1"/>
  </dataFields>
  <formats count="1">
    <format dxfId="1">
      <pivotArea outline="0" collapsedLevelsAreSubtotals="1" fieldPosition="0"/>
    </format>
  </formats>
  <chartFormats count="3">
    <chartFormat chart="7" format="4" series="1">
      <pivotArea type="data" outline="0" fieldPosition="0">
        <references count="2">
          <reference field="4294967294" count="1" selected="0">
            <x v="0"/>
          </reference>
          <reference field="16" count="1" selected="0">
            <x v="1"/>
          </reference>
        </references>
      </pivotArea>
    </chartFormat>
    <chartFormat chart="7" format="5" series="1">
      <pivotArea type="data" outline="0" fieldPosition="0">
        <references count="2">
          <reference field="4294967294" count="1" selected="0">
            <x v="0"/>
          </reference>
          <reference field="16" count="1" selected="0">
            <x v="2"/>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698B6505-2C0B-4B03-9D8F-EFBE6BAF8C07}" name="PivotTable2"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7:I30" firstHeaderRow="1" firstDataRow="1" firstDataCol="1" rowPageCount="1" colPageCount="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 showAll="0"/>
    <pivotField showAll="0"/>
    <pivotField dragToRow="0" dragToCol="0" dragToPage="0" showAll="0" defaultSubtotal="0"/>
    <pivotField axis="axisRow" showAll="0" defaultSubtotal="0">
      <items count="14">
        <item x="0"/>
        <item x="1"/>
        <item x="2"/>
        <item x="3"/>
        <item x="4"/>
        <item x="5"/>
        <item x="6"/>
        <item x="7"/>
        <item x="8"/>
        <item x="9"/>
        <item x="10"/>
        <item x="11"/>
        <item x="12"/>
        <item x="13"/>
      </items>
    </pivotField>
    <pivotField axis="axisPage" multipleItemSelectionAllowed="1" showAll="0" defaultSubtotal="0">
      <items count="4">
        <item h="1" x="0"/>
        <item h="1" x="1"/>
        <item x="2"/>
        <item h="1" x="3"/>
      </items>
    </pivotField>
    <pivotField dragToRow="0" dragToCol="0" dragToPage="0" showAll="0" defaultSubtotal="0"/>
  </pivotFields>
  <rowFields count="1">
    <field x="15"/>
  </rowFields>
  <rowItems count="13">
    <i>
      <x v="1"/>
    </i>
    <i>
      <x v="2"/>
    </i>
    <i>
      <x v="3"/>
    </i>
    <i>
      <x v="4"/>
    </i>
    <i>
      <x v="5"/>
    </i>
    <i>
      <x v="6"/>
    </i>
    <i>
      <x v="7"/>
    </i>
    <i>
      <x v="8"/>
    </i>
    <i>
      <x v="9"/>
    </i>
    <i>
      <x v="10"/>
    </i>
    <i>
      <x v="11"/>
    </i>
    <i>
      <x v="12"/>
    </i>
    <i t="grand">
      <x/>
    </i>
  </rowItems>
  <colItems count="1">
    <i/>
  </colItems>
  <pageFields count="1">
    <pageField fld="16" hier="-1"/>
  </pageFields>
  <dataFields count="1">
    <dataField name="Sum of Cost" fld="10"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7ECA4310-B6C7-4D4B-9DDF-B52E12E3427A}" name="PivotTable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J5:K8" firstHeaderRow="1" firstDataRow="1"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 dragToRow="0" dragToCol="0" dragToPage="0" showAll="0" defaultSubtotal="0"/>
  </pivotFields>
  <rowFields count="1">
    <field x="16"/>
  </rowFields>
  <rowItems count="3">
    <i>
      <x v="1"/>
    </i>
    <i>
      <x v="2"/>
    </i>
    <i t="grand">
      <x/>
    </i>
  </rowItems>
  <colItems count="1">
    <i/>
  </colItems>
  <dataFields count="1">
    <dataField name="Total Cost Incurred" fld="10" baseField="0" baseItem="0" numFmtId="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40F0082E-A55F-423F-B2AF-793F51C7DF07}" name="PivotTable28"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colHeaderCaption="">
  <location ref="D4:G11" firstHeaderRow="1" firstDataRow="2" firstDataCol="1"/>
  <pivotFields count="18">
    <pivotField showAll="0"/>
    <pivotField numFmtId="14" showAll="0">
      <items count="397">
        <item x="65"/>
        <item x="125"/>
        <item x="222"/>
        <item x="353"/>
        <item x="51"/>
        <item x="93"/>
        <item x="342"/>
        <item x="258"/>
        <item x="271"/>
        <item x="376"/>
        <item x="285"/>
        <item x="6"/>
        <item x="29"/>
        <item x="337"/>
        <item x="383"/>
        <item x="251"/>
        <item x="110"/>
        <item x="113"/>
        <item x="61"/>
        <item x="140"/>
        <item x="221"/>
        <item x="247"/>
        <item x="281"/>
        <item x="91"/>
        <item x="389"/>
        <item x="351"/>
        <item x="261"/>
        <item x="303"/>
        <item x="114"/>
        <item x="256"/>
        <item x="292"/>
        <item x="86"/>
        <item x="227"/>
        <item x="310"/>
        <item x="33"/>
        <item x="374"/>
        <item x="99"/>
        <item x="94"/>
        <item x="330"/>
        <item x="4"/>
        <item x="395"/>
        <item x="361"/>
        <item x="325"/>
        <item x="63"/>
        <item x="145"/>
        <item x="13"/>
        <item x="354"/>
        <item x="56"/>
        <item x="331"/>
        <item x="136"/>
        <item x="119"/>
        <item x="15"/>
        <item x="0"/>
        <item x="233"/>
        <item x="68"/>
        <item x="3"/>
        <item x="387"/>
        <item x="235"/>
        <item x="173"/>
        <item x="358"/>
        <item x="266"/>
        <item x="312"/>
        <item x="316"/>
        <item x="228"/>
        <item x="8"/>
        <item x="190"/>
        <item x="198"/>
        <item x="295"/>
        <item x="313"/>
        <item x="270"/>
        <item x="96"/>
        <item x="184"/>
        <item x="17"/>
        <item x="391"/>
        <item x="111"/>
        <item x="100"/>
        <item x="290"/>
        <item x="196"/>
        <item x="204"/>
        <item x="205"/>
        <item x="296"/>
        <item x="210"/>
        <item x="226"/>
        <item x="236"/>
        <item x="326"/>
        <item x="278"/>
        <item x="92"/>
        <item x="260"/>
        <item x="142"/>
        <item x="26"/>
        <item x="74"/>
        <item x="238"/>
        <item x="46"/>
        <item x="350"/>
        <item x="138"/>
        <item x="259"/>
        <item x="280"/>
        <item x="377"/>
        <item x="339"/>
        <item x="264"/>
        <item x="189"/>
        <item x="390"/>
        <item x="199"/>
        <item x="88"/>
        <item x="321"/>
        <item x="38"/>
        <item x="267"/>
        <item x="24"/>
        <item x="242"/>
        <item x="301"/>
        <item x="195"/>
        <item x="112"/>
        <item x="75"/>
        <item x="188"/>
        <item x="332"/>
        <item x="62"/>
        <item x="129"/>
        <item x="224"/>
        <item x="10"/>
        <item x="87"/>
        <item x="126"/>
        <item x="181"/>
        <item x="340"/>
        <item x="154"/>
        <item x="252"/>
        <item x="234"/>
        <item x="248"/>
        <item x="109"/>
        <item x="171"/>
        <item x="167"/>
        <item x="392"/>
        <item x="319"/>
        <item x="134"/>
        <item x="52"/>
        <item x="144"/>
        <item x="42"/>
        <item x="279"/>
        <item x="186"/>
        <item x="80"/>
        <item x="30"/>
        <item x="218"/>
        <item x="268"/>
        <item x="344"/>
        <item x="160"/>
        <item x="214"/>
        <item x="300"/>
        <item x="380"/>
        <item x="176"/>
        <item x="305"/>
        <item x="76"/>
        <item x="2"/>
        <item x="320"/>
        <item x="373"/>
        <item x="47"/>
        <item x="25"/>
        <item x="372"/>
        <item x="193"/>
        <item x="157"/>
        <item x="253"/>
        <item x="329"/>
        <item x="275"/>
        <item x="106"/>
        <item x="192"/>
        <item x="82"/>
        <item x="212"/>
        <item x="263"/>
        <item x="217"/>
        <item x="298"/>
        <item x="19"/>
        <item x="28"/>
        <item x="50"/>
        <item x="165"/>
        <item x="286"/>
        <item x="269"/>
        <item x="341"/>
        <item x="200"/>
        <item x="11"/>
        <item x="343"/>
        <item x="85"/>
        <item x="55"/>
        <item x="334"/>
        <item x="297"/>
        <item x="20"/>
        <item x="53"/>
        <item x="152"/>
        <item x="202"/>
        <item x="302"/>
        <item x="291"/>
        <item x="336"/>
        <item x="161"/>
        <item x="249"/>
        <item x="57"/>
        <item x="370"/>
        <item x="306"/>
        <item x="14"/>
        <item x="168"/>
        <item x="245"/>
        <item x="363"/>
        <item x="156"/>
        <item x="107"/>
        <item x="89"/>
        <item x="382"/>
        <item x="155"/>
        <item x="23"/>
        <item x="178"/>
        <item x="48"/>
        <item x="66"/>
        <item x="103"/>
        <item x="128"/>
        <item x="366"/>
        <item x="378"/>
        <item x="352"/>
        <item x="127"/>
        <item x="287"/>
        <item x="191"/>
        <item x="71"/>
        <item x="182"/>
        <item x="225"/>
        <item x="116"/>
        <item x="283"/>
        <item x="163"/>
        <item x="362"/>
        <item x="22"/>
        <item x="211"/>
        <item x="185"/>
        <item x="349"/>
        <item x="357"/>
        <item x="105"/>
        <item x="231"/>
        <item x="232"/>
        <item x="347"/>
        <item x="59"/>
        <item x="333"/>
        <item x="327"/>
        <item x="1"/>
        <item x="250"/>
        <item x="187"/>
        <item x="175"/>
        <item x="299"/>
        <item x="379"/>
        <item x="323"/>
        <item x="220"/>
        <item x="58"/>
        <item x="77"/>
        <item x="367"/>
        <item x="12"/>
        <item x="27"/>
        <item x="131"/>
        <item x="78"/>
        <item x="201"/>
        <item x="9"/>
        <item x="384"/>
        <item x="244"/>
        <item x="289"/>
        <item x="98"/>
        <item x="153"/>
        <item x="311"/>
        <item x="32"/>
        <item x="36"/>
        <item x="69"/>
        <item x="254"/>
        <item x="385"/>
        <item x="44"/>
        <item x="318"/>
        <item x="207"/>
        <item x="108"/>
        <item x="21"/>
        <item x="90"/>
        <item x="174"/>
        <item x="101"/>
        <item x="360"/>
        <item x="115"/>
        <item x="241"/>
        <item x="43"/>
        <item x="151"/>
        <item x="60"/>
        <item x="177"/>
        <item x="34"/>
        <item x="257"/>
        <item x="315"/>
        <item x="255"/>
        <item x="262"/>
        <item x="95"/>
        <item x="338"/>
        <item x="141"/>
        <item x="282"/>
        <item x="139"/>
        <item x="346"/>
        <item x="122"/>
        <item x="369"/>
        <item x="208"/>
        <item x="130"/>
        <item x="73"/>
        <item x="147"/>
        <item x="317"/>
        <item x="31"/>
        <item x="64"/>
        <item x="40"/>
        <item x="135"/>
        <item x="54"/>
        <item x="67"/>
        <item x="41"/>
        <item x="386"/>
        <item x="272"/>
        <item x="216"/>
        <item x="117"/>
        <item x="133"/>
        <item x="348"/>
        <item x="146"/>
        <item x="240"/>
        <item x="324"/>
        <item x="230"/>
        <item x="394"/>
        <item x="102"/>
        <item x="375"/>
        <item x="49"/>
        <item x="356"/>
        <item x="309"/>
        <item x="355"/>
        <item x="265"/>
        <item x="170"/>
        <item x="197"/>
        <item x="194"/>
        <item x="213"/>
        <item x="335"/>
        <item x="123"/>
        <item x="7"/>
        <item x="359"/>
        <item x="149"/>
        <item x="215"/>
        <item x="179"/>
        <item x="274"/>
        <item x="159"/>
        <item x="158"/>
        <item x="314"/>
        <item x="307"/>
        <item x="183"/>
        <item x="277"/>
        <item x="150"/>
        <item x="209"/>
        <item x="180"/>
        <item x="124"/>
        <item x="148"/>
        <item x="45"/>
        <item x="97"/>
        <item x="164"/>
        <item x="219"/>
        <item x="288"/>
        <item x="137"/>
        <item x="304"/>
        <item x="308"/>
        <item x="393"/>
        <item x="223"/>
        <item x="203"/>
        <item x="18"/>
        <item x="276"/>
        <item x="16"/>
        <item x="293"/>
        <item x="246"/>
        <item x="169"/>
        <item x="229"/>
        <item x="104"/>
        <item x="365"/>
        <item x="166"/>
        <item x="239"/>
        <item x="35"/>
        <item x="120"/>
        <item x="284"/>
        <item x="273"/>
        <item x="39"/>
        <item x="243"/>
        <item x="368"/>
        <item x="345"/>
        <item x="132"/>
        <item x="172"/>
        <item x="388"/>
        <item x="371"/>
        <item x="328"/>
        <item x="294"/>
        <item x="143"/>
        <item x="37"/>
        <item x="5"/>
        <item x="81"/>
        <item x="70"/>
        <item x="322"/>
        <item x="237"/>
        <item x="162"/>
        <item x="206"/>
        <item x="381"/>
        <item x="84"/>
        <item x="83"/>
        <item x="121"/>
        <item x="79"/>
        <item x="118"/>
        <item x="364"/>
        <item x="72"/>
        <item t="default"/>
      </items>
    </pivotField>
    <pivotField showAll="0">
      <items count="6">
        <item x="2"/>
        <item x="3"/>
        <item x="0"/>
        <item x="1"/>
        <item x="4"/>
        <item t="default"/>
      </items>
    </pivotField>
    <pivotField showAll="0">
      <items count="3">
        <item x="0"/>
        <item x="1"/>
        <item t="default"/>
      </items>
    </pivotField>
    <pivotField axis="axisRow" showAll="0">
      <items count="6">
        <item x="3"/>
        <item x="0"/>
        <item x="1"/>
        <item x="4"/>
        <item x="2"/>
        <item t="default"/>
      </items>
    </pivotField>
    <pivotField showAll="0">
      <items count="7">
        <item x="3"/>
        <item x="1"/>
        <item x="0"/>
        <item x="2"/>
        <item x="5"/>
        <item x="4"/>
        <item t="default"/>
      </items>
    </pivotField>
    <pivotField showAll="0">
      <items count="4">
        <item x="2"/>
        <item x="0"/>
        <item x="1"/>
        <item t="default"/>
      </items>
    </pivotField>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 dragToRow="0" dragToCol="0" dragToPage="0" showAll="0" defaultSubtotal="0"/>
  </pivotFields>
  <rowFields count="1">
    <field x="4"/>
  </rowFields>
  <rowItems count="6">
    <i>
      <x/>
    </i>
    <i>
      <x v="1"/>
    </i>
    <i>
      <x v="2"/>
    </i>
    <i>
      <x v="3"/>
    </i>
    <i>
      <x v="4"/>
    </i>
    <i t="grand">
      <x/>
    </i>
  </rowItems>
  <colFields count="1">
    <field x="16"/>
  </colFields>
  <colItems count="3">
    <i>
      <x v="1"/>
    </i>
    <i>
      <x v="2"/>
    </i>
    <i t="grand">
      <x/>
    </i>
  </colItems>
  <dataFields count="1">
    <dataField name="Cost by Region" fld="10" baseField="0" baseItem="0"/>
  </dataFields>
  <formats count="4">
    <format dxfId="7">
      <pivotArea dataOnly="0" labelOnly="1" fieldPosition="0">
        <references count="1">
          <reference field="16" count="2">
            <x v="1"/>
            <x v="2"/>
          </reference>
        </references>
      </pivotArea>
    </format>
    <format dxfId="6">
      <pivotArea dataOnly="0" labelOnly="1" grandCol="1" outline="0" fieldPosition="0"/>
    </format>
    <format dxfId="5">
      <pivotArea field="4" type="button" dataOnly="0" labelOnly="1" outline="0" axis="axisRow"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76EFCB-3203-49EF-AE78-5DBA6433FCF3}" sourceName="Region">
  <pivotTables>
    <pivotTable tabId="3" name="PivotTable1"/>
    <pivotTable tabId="3" name="PivotTable2"/>
    <pivotTable tabId="3" name="PivotTable5"/>
    <pivotTable tabId="2" name="PivotTable7"/>
    <pivotTable tabId="2" name="PivotTable9"/>
    <pivotTable tabId="8" name="PivotTable10"/>
    <pivotTable tabId="8" name="PivotTable11"/>
    <pivotTable tabId="12" name="PivotTable19"/>
    <pivotTable tabId="12" name="PivotTable21"/>
    <pivotTable tabId="12" name="PivotTable23"/>
    <pivotTable tabId="12" name="PivotTable24"/>
    <pivotTable tabId="3" name="PivotTable25"/>
    <pivotTable tabId="2" name="PivotTable27"/>
    <pivotTable tabId="8" name="PivotTable28"/>
    <pivotTable tabId="18" name="PivotTable29"/>
    <pivotTable tabId="18" name="PivotTable30"/>
    <pivotTable tabId="18" name="PivotTable32"/>
    <pivotTable tabId="18" name="PivotTable34"/>
    <pivotTable tabId="2" name="PivotTable36"/>
    <pivotTable tabId="8" name="PivotTable3"/>
    <pivotTable tabId="12" name="PivotTable22"/>
    <pivotTable tabId="12" name="PivotTable25"/>
    <pivotTable tabId="12" name="PivotTable26"/>
    <pivotTable tabId="12" name="PivotTable27"/>
    <pivotTable tabId="12" name="PivotTable28"/>
    <pivotTable tabId="12" name="PivotTable31"/>
    <pivotTable tabId="12" name="PivotTable36"/>
    <pivotTable tabId="12" name="PivotTable37"/>
    <pivotTable tabId="24" name="PivotTable38"/>
    <pivotTable tabId="24" name="PivotTable39"/>
    <pivotTable tabId="24" name="PivotTable40"/>
    <pivotTable tabId="24" name="PivotTable41"/>
    <pivotTable tabId="24" name="PivotTable42"/>
    <pivotTable tabId="24" name="PivotTable47"/>
    <pivotTable tabId="12" name="PivotTable48"/>
  </pivotTables>
  <data>
    <tabular pivotCacheId="1828795476">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AF8821F3-0E1F-4BA0-B444-F95C188AEF4B}" sourceName="Sales_Channel">
  <pivotTables>
    <pivotTable tabId="24" name="PivotTable42"/>
    <pivotTable tabId="24" name="PivotTable41"/>
    <pivotTable tabId="24" name="PivotTable40"/>
    <pivotTable tabId="24" name="PivotTable39"/>
    <pivotTable tabId="24" name="PivotTable38"/>
    <pivotTable tabId="12" name="PivotTable37"/>
    <pivotTable tabId="12" name="PivotTable36"/>
    <pivotTable tabId="12" name="PivotTable31"/>
    <pivotTable tabId="12" name="PivotTable28"/>
    <pivotTable tabId="12" name="PivotTable27"/>
    <pivotTable tabId="12" name="PivotTable26"/>
    <pivotTable tabId="12" name="PivotTable25"/>
    <pivotTable tabId="12" name="PivotTable22"/>
    <pivotTable tabId="8" name="PivotTable3"/>
    <pivotTable tabId="2" name="PivotTable36"/>
    <pivotTable tabId="18" name="PivotTable34"/>
    <pivotTable tabId="18" name="PivotTable32"/>
    <pivotTable tabId="18" name="PivotTable30"/>
    <pivotTable tabId="18" name="PivotTable29"/>
    <pivotTable tabId="8" name="PivotTable28"/>
    <pivotTable tabId="2" name="PivotTable27"/>
    <pivotTable tabId="3" name="PivotTable25"/>
    <pivotTable tabId="12" name="PivotTable24"/>
    <pivotTable tabId="12" name="PivotTable23"/>
    <pivotTable tabId="12" name="PivotTable21"/>
    <pivotTable tabId="12" name="PivotTable19"/>
    <pivotTable tabId="8" name="PivotTable11"/>
    <pivotTable tabId="8" name="PivotTable10"/>
    <pivotTable tabId="2" name="PivotTable9"/>
    <pivotTable tabId="2" name="PivotTable7"/>
    <pivotTable tabId="3" name="PivotTable5"/>
    <pivotTable tabId="3" name="PivotTable2"/>
    <pivotTable tabId="3" name="PivotTable1"/>
    <pivotTable tabId="12" name="PivotTable32"/>
    <pivotTable tabId="18" name="PivotTable12"/>
    <pivotTable tabId="23" name="PivotTable15"/>
    <pivotTable tabId="23" name="PivotTable16"/>
    <pivotTable tabId="3" name="PivotTable21"/>
    <pivotTable tabId="8" name="PivotTable2"/>
    <pivotTable tabId="24" name="PivotTable43"/>
    <pivotTable tabId="2" name="PivotTable13"/>
    <pivotTable tabId="23" name="PivotTable14"/>
    <pivotTable tabId="3" name="PivotTable18"/>
    <pivotTable tabId="3" name="PivotTable45"/>
    <pivotTable tabId="3" name="PivotTable46"/>
    <pivotTable tabId="24" name="PivotTable47"/>
    <pivotTable tabId="2" name="PivotTable11"/>
    <pivotTable tabId="2" name="PivotTable5"/>
    <pivotTable tabId="24" name="PivotTable34"/>
    <pivotTable tabId="12" name="PivotTable48"/>
  </pivotTables>
  <data>
    <tabular pivotCacheId="182879547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6DD81D54-1B31-4DF3-B920-2F9F02016065}" sourceName="Months (Order_Date)">
  <pivotTables>
    <pivotTable tabId="8" name="PivotTable3"/>
    <pivotTable tabId="3" name="PivotTable5"/>
    <pivotTable tabId="3" name="PivotTable25"/>
    <pivotTable tabId="3" name="PivotTable2"/>
    <pivotTable tabId="3" name="PivotTable1"/>
    <pivotTable tabId="2" name="PivotTable9"/>
    <pivotTable tabId="2" name="PivotTable7"/>
    <pivotTable tabId="2" name="PivotTable36"/>
    <pivotTable tabId="2" name="PivotTable27"/>
    <pivotTable tabId="18" name="PivotTable34"/>
    <pivotTable tabId="18" name="PivotTable32"/>
    <pivotTable tabId="18" name="PivotTable30"/>
    <pivotTable tabId="18" name="PivotTable29"/>
    <pivotTable tabId="8" name="PivotTable28"/>
    <pivotTable tabId="8" name="PivotTable11"/>
    <pivotTable tabId="8" name="PivotTable10"/>
    <pivotTable tabId="12" name="PivotTable24"/>
    <pivotTable tabId="12" name="PivotTable23"/>
    <pivotTable tabId="12" name="PivotTable21"/>
    <pivotTable tabId="12" name="PivotTable19"/>
    <pivotTable tabId="18" name="PivotTable12"/>
    <pivotTable tabId="2" name="PivotTable13"/>
    <pivotTable tabId="23" name="PivotTable14"/>
    <pivotTable tabId="23" name="PivotTable15"/>
    <pivotTable tabId="23" name="PivotTable16"/>
    <pivotTable tabId="3" name="PivotTable18"/>
    <pivotTable tabId="12" name="PivotTable22"/>
    <pivotTable tabId="12" name="PivotTable25"/>
    <pivotTable tabId="12" name="PivotTable26"/>
    <pivotTable tabId="12" name="PivotTable27"/>
    <pivotTable tabId="12" name="PivotTable28"/>
    <pivotTable tabId="12" name="PivotTable31"/>
    <pivotTable tabId="12" name="PivotTable36"/>
    <pivotTable tabId="12" name="PivotTable37"/>
    <pivotTable tabId="24" name="PivotTable38"/>
    <pivotTable tabId="24" name="PivotTable39"/>
    <pivotTable tabId="24" name="PivotTable40"/>
    <pivotTable tabId="24" name="PivotTable41"/>
    <pivotTable tabId="24" name="PivotTable42"/>
    <pivotTable tabId="12" name="PivotTable32"/>
    <pivotTable tabId="8" name="PivotTable2"/>
    <pivotTable tabId="24" name="PivotTable43"/>
    <pivotTable tabId="3" name="PivotTable21"/>
    <pivotTable tabId="3" name="PivotTable45"/>
    <pivotTable tabId="3" name="PivotTable46"/>
    <pivotTable tabId="24" name="PivotTable47"/>
    <pivotTable tabId="2" name="PivotTable11"/>
    <pivotTable tabId="2" name="PivotTable5"/>
    <pivotTable tabId="24" name="PivotTable34"/>
    <pivotTable tabId="12" name="PivotTable48"/>
  </pivotTables>
  <data>
    <tabular pivotCacheId="182879547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855809-CF63-46DC-9408-A31E0B0C7977}" sourceName="Category">
  <pivotTables>
    <pivotTable tabId="12" name="PivotTable31"/>
    <pivotTable tabId="12" name="PivotTable36"/>
    <pivotTable tabId="12" name="PivotTable37"/>
    <pivotTable tabId="24" name="PivotTable38"/>
    <pivotTable tabId="24" name="PivotTable39"/>
    <pivotTable tabId="24" name="PivotTable40"/>
    <pivotTable tabId="24" name="PivotTable41"/>
    <pivotTable tabId="24" name="PivotTable42"/>
    <pivotTable tabId="24" name="PivotTable47"/>
  </pivotTables>
  <data>
    <tabular pivotCacheId="182879547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0A29E2B-D4E2-496D-B004-A2F6AC5503E5}" sourceName="Region">
  <pivotTables>
    <pivotTable tabId="23" name="PivotTable14"/>
  </pivotTables>
  <data>
    <tabular pivotCacheId="1828795476">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1" xr10:uid="{EAAC36AE-08A6-4989-B6D4-99F9CE93E232}" cache="Slicer_Sales_Channel1" caption="Sales_Channel" style="SlicerStyleLight6" rowHeight="241300"/>
  <slicer name="Months (Order_Date) 1" xr10:uid="{33A93303-3295-44CA-8250-46DDBE5B9460}" cache="Slicer_Months__Order_Date1" caption="Months (Order_Date)"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BD6D7F8-9DF4-422D-92AD-F827DB05EA7A}" cache="Slicer_Region" caption="Region" style="SlicerStyleLight6" rowHeight="241300"/>
  <slicer name="Sales_Channel" xr10:uid="{C3636EB4-35BF-4383-82AC-310454303625}" cache="Slicer_Sales_Channel1" caption="Sales_Channel" style="SlicerStyleLight6" rowHeight="241300"/>
  <slicer name="Months (Order_Date)" xr10:uid="{307AB605-D6BB-4022-9690-108A3A94FA59}" cache="Slicer_Months__Order_Date1" caption="Months (Order_Date)"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8DC26D8-B2EC-45BA-A895-AD367BA3EF90}" cache="Slicer_Region" caption="Region" rowHeight="241300"/>
  <slicer name="Sales_Channel 2" xr10:uid="{65AC0570-D722-45F8-8766-21EFCD301029}" cache="Slicer_Sales_Channel1" caption="Sales_Channel" rowHeight="241300"/>
  <slicer name="Category" xr10:uid="{B340F92D-6261-4996-A692-06065CC4B302}" cache="Slicer_Category" caption="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3" xr10:uid="{A1CB7004-8C60-483A-ADAC-A8F91BE0C631}" cache="Slicer_Sales_Channel1" caption="Sales_Channel" rowHeight="241300"/>
  <slicer name="Region 2" xr10:uid="{00611737-2CD8-4D3D-8E3B-41392FF77DBC}"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D5D7F5-1FF8-41EC-88D5-6A324993DC5D}" name="Table1" displayName="Table1" ref="A1:N601" totalsRowShown="0" headerRowDxfId="109">
  <autoFilter ref="A1:N601" xr:uid="{E5D5D7F5-1FF8-41EC-88D5-6A324993DC5D}"/>
  <tableColumns count="14">
    <tableColumn id="1" xr3:uid="{83EE46C3-1119-45FE-93A2-55F71483FE85}" name="Order_ID"/>
    <tableColumn id="2" xr3:uid="{A6260215-BAF7-4175-A7DE-BD22995D94A8}" name="Order_Date" dataDxfId="108"/>
    <tableColumn id="3" xr3:uid="{81D7025B-BEAF-473D-B687-B7704317A6C5}" name="Product"/>
    <tableColumn id="4" xr3:uid="{FF55B370-A555-4057-B24D-331382A920EE}" name="Category"/>
    <tableColumn id="5" xr3:uid="{FE8B5D3D-F4F3-451E-B745-C7618BD022DA}" name="Region"/>
    <tableColumn id="7" xr3:uid="{701E0154-2984-438C-A3E8-77BB775E3B2F}" name="Customer_Name"/>
    <tableColumn id="8" xr3:uid="{655356A9-1403-425E-8C84-E15CB1EB8890}" name="Sales_Channel"/>
    <tableColumn id="9" xr3:uid="{15C075C3-0087-46A2-8895-FA15780A2F8B}" name="Quantity"/>
    <tableColumn id="10" xr3:uid="{31F5F7A0-1B35-4C8F-A0A7-A1C58B3F8876}" name="Unit_Price" dataDxfId="107" dataCellStyle="Currency"/>
    <tableColumn id="11" xr3:uid="{751CCED9-129A-45BA-9527-870F48A98CD4}" name="Revenue" dataDxfId="106" dataCellStyle="Currency"/>
    <tableColumn id="12" xr3:uid="{F92CE674-E86E-4EF0-8ACA-CA59D6F7E050}" name="Cost" dataDxfId="105" dataCellStyle="Currency"/>
    <tableColumn id="13" xr3:uid="{B78CABEA-8111-4680-AFDD-76EB687B3750}" name="Discount" dataDxfId="104" dataCellStyle="Currency"/>
    <tableColumn id="14" xr3:uid="{F722D7DD-82B1-4673-85B4-76E318C0159B}" name="Net_Revenue" dataDxfId="103" dataCellStyle="Currency"/>
    <tableColumn id="15" xr3:uid="{A163423B-826B-4A14-B135-1B28A1A39300}" name="PROFIT" dataDxfId="102" dataCellStyle="Currenc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6" Type="http://schemas.microsoft.com/office/2007/relationships/slicer" Target="../slicers/slicer3.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openxmlformats.org/officeDocument/2006/relationships/drawing" Target="../drawings/drawing4.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ivotTable" Target="../pivotTables/pivotTable22.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30.xml"/><Relationship Id="rId3" Type="http://schemas.openxmlformats.org/officeDocument/2006/relationships/pivotTable" Target="../pivotTables/pivotTable25.xml"/><Relationship Id="rId7" Type="http://schemas.openxmlformats.org/officeDocument/2006/relationships/pivotTable" Target="../pivotTables/pivotTable29.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pivotTable" Target="../pivotTables/pivotTable28.xml"/><Relationship Id="rId5" Type="http://schemas.openxmlformats.org/officeDocument/2006/relationships/pivotTable" Target="../pivotTables/pivotTable27.xml"/><Relationship Id="rId4" Type="http://schemas.openxmlformats.org/officeDocument/2006/relationships/pivotTable" Target="../pivotTables/pivotTable2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3.xml"/><Relationship Id="rId2" Type="http://schemas.openxmlformats.org/officeDocument/2006/relationships/pivotTable" Target="../pivotTables/pivotTable32.xml"/><Relationship Id="rId1" Type="http://schemas.openxmlformats.org/officeDocument/2006/relationships/pivotTable" Target="../pivotTables/pivotTable31.xml"/><Relationship Id="rId5" Type="http://schemas.microsoft.com/office/2007/relationships/slicer" Target="../slicers/slicer4.xml"/><Relationship Id="rId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6.xml"/><Relationship Id="rId2" Type="http://schemas.openxmlformats.org/officeDocument/2006/relationships/pivotTable" Target="../pivotTables/pivotTable35.xml"/><Relationship Id="rId1" Type="http://schemas.openxmlformats.org/officeDocument/2006/relationships/pivotTable" Target="../pivotTables/pivotTable34.xml"/><Relationship Id="rId5" Type="http://schemas.openxmlformats.org/officeDocument/2006/relationships/pivotTable" Target="../pivotTables/pivotTable38.xml"/><Relationship Id="rId4" Type="http://schemas.openxmlformats.org/officeDocument/2006/relationships/pivotTable" Target="../pivotTables/pivotTable37.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41.xml"/><Relationship Id="rId7" Type="http://schemas.openxmlformats.org/officeDocument/2006/relationships/pivotTable" Target="../pivotTables/pivotTable45.xml"/><Relationship Id="rId2" Type="http://schemas.openxmlformats.org/officeDocument/2006/relationships/pivotTable" Target="../pivotTables/pivotTable40.xml"/><Relationship Id="rId1" Type="http://schemas.openxmlformats.org/officeDocument/2006/relationships/pivotTable" Target="../pivotTables/pivotTable39.xml"/><Relationship Id="rId6" Type="http://schemas.openxmlformats.org/officeDocument/2006/relationships/pivotTable" Target="../pivotTables/pivotTable44.xml"/><Relationship Id="rId5" Type="http://schemas.openxmlformats.org/officeDocument/2006/relationships/pivotTable" Target="../pivotTables/pivotTable43.xml"/><Relationship Id="rId4" Type="http://schemas.openxmlformats.org/officeDocument/2006/relationships/pivotTable" Target="../pivotTables/pivotTable42.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48.xml"/><Relationship Id="rId2" Type="http://schemas.openxmlformats.org/officeDocument/2006/relationships/pivotTable" Target="../pivotTables/pivotTable47.xml"/><Relationship Id="rId1" Type="http://schemas.openxmlformats.org/officeDocument/2006/relationships/pivotTable" Target="../pivotTables/pivotTable46.xml"/><Relationship Id="rId5" Type="http://schemas.openxmlformats.org/officeDocument/2006/relationships/pivotTable" Target="../pivotTables/pivotTable50.xml"/><Relationship Id="rId4" Type="http://schemas.openxmlformats.org/officeDocument/2006/relationships/pivotTable" Target="../pivotTables/pivotTable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373AC-E1E2-4303-BF4D-C55FB4450AF5}">
  <sheetPr>
    <tabColor theme="1" tint="4.9989318521683403E-2"/>
  </sheetPr>
  <dimension ref="A1:N608"/>
  <sheetViews>
    <sheetView workbookViewId="0">
      <selection activeCell="G15" sqref="G15"/>
    </sheetView>
  </sheetViews>
  <sheetFormatPr defaultRowHeight="15" x14ac:dyDescent="0.25"/>
  <cols>
    <col min="1" max="1" width="8.85546875" bestFit="1" customWidth="1"/>
    <col min="2" max="2" width="6" bestFit="1" customWidth="1"/>
    <col min="3" max="3" width="8.140625" bestFit="1" customWidth="1"/>
    <col min="4" max="4" width="11.28515625" bestFit="1" customWidth="1"/>
    <col min="5" max="5" width="12.7109375" bestFit="1" customWidth="1"/>
    <col min="6" max="6" width="6" bestFit="1" customWidth="1"/>
    <col min="7" max="7" width="10.42578125" bestFit="1" customWidth="1"/>
    <col min="8" max="8" width="2" bestFit="1" customWidth="1"/>
    <col min="9" max="9" width="7" bestFit="1" customWidth="1"/>
    <col min="10" max="10" width="8" bestFit="1" customWidth="1"/>
    <col min="11" max="14" width="12"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638</v>
      </c>
    </row>
    <row r="2" spans="1:14" x14ac:dyDescent="0.25">
      <c r="A2" t="s">
        <v>13</v>
      </c>
      <c r="B2">
        <v>45029</v>
      </c>
      <c r="C2" t="s">
        <v>613</v>
      </c>
      <c r="D2" t="s">
        <v>618</v>
      </c>
      <c r="E2" t="s">
        <v>620</v>
      </c>
      <c r="F2" t="s">
        <v>625</v>
      </c>
      <c r="G2" t="s">
        <v>631</v>
      </c>
      <c r="H2">
        <v>7</v>
      </c>
      <c r="I2">
        <v>304466</v>
      </c>
      <c r="J2">
        <v>2131262</v>
      </c>
      <c r="K2">
        <v>1072543.3755191551</v>
      </c>
      <c r="L2">
        <v>244611.69570290149</v>
      </c>
      <c r="M2">
        <v>1886650.304297098</v>
      </c>
      <c r="N2">
        <v>814106.9287779429</v>
      </c>
    </row>
    <row r="3" spans="1:14" x14ac:dyDescent="0.25">
      <c r="A3" t="s">
        <v>14</v>
      </c>
      <c r="B3">
        <v>45362</v>
      </c>
      <c r="C3" t="s">
        <v>614</v>
      </c>
      <c r="D3" t="s">
        <v>618</v>
      </c>
      <c r="E3" t="s">
        <v>620</v>
      </c>
      <c r="F3" t="s">
        <v>626</v>
      </c>
      <c r="G3" t="s">
        <v>632</v>
      </c>
      <c r="H3">
        <v>9</v>
      </c>
      <c r="I3">
        <v>489503</v>
      </c>
      <c r="J3">
        <v>4405527</v>
      </c>
      <c r="K3">
        <v>3295181.4222688498</v>
      </c>
      <c r="L3">
        <v>498721.89066815347</v>
      </c>
      <c r="M3">
        <v>3906805.1093318472</v>
      </c>
      <c r="N3">
        <v>611623.68706299702</v>
      </c>
    </row>
    <row r="4" spans="1:14" x14ac:dyDescent="0.25">
      <c r="A4" t="s">
        <v>15</v>
      </c>
      <c r="B4">
        <v>45197</v>
      </c>
      <c r="C4" t="s">
        <v>615</v>
      </c>
      <c r="D4" t="s">
        <v>618</v>
      </c>
      <c r="E4" t="s">
        <v>621</v>
      </c>
      <c r="F4" t="s">
        <v>627</v>
      </c>
      <c r="G4" t="s">
        <v>632</v>
      </c>
      <c r="H4">
        <v>4</v>
      </c>
      <c r="I4">
        <v>136724</v>
      </c>
      <c r="J4">
        <v>546896</v>
      </c>
      <c r="K4">
        <v>404863.94233833958</v>
      </c>
      <c r="L4">
        <v>96038.60320811643</v>
      </c>
      <c r="M4">
        <v>450857.39679188363</v>
      </c>
      <c r="N4">
        <v>45993.454453544051</v>
      </c>
    </row>
    <row r="5" spans="1:14" x14ac:dyDescent="0.25">
      <c r="A5" t="s">
        <v>16</v>
      </c>
      <c r="B5">
        <v>45033</v>
      </c>
      <c r="C5" t="s">
        <v>616</v>
      </c>
      <c r="D5" t="s">
        <v>619</v>
      </c>
      <c r="E5" t="s">
        <v>622</v>
      </c>
      <c r="F5" t="s">
        <v>626</v>
      </c>
      <c r="G5" t="s">
        <v>633</v>
      </c>
      <c r="H5">
        <v>3</v>
      </c>
      <c r="I5">
        <v>279204</v>
      </c>
      <c r="J5">
        <v>837612</v>
      </c>
      <c r="K5">
        <v>445053.70734447119</v>
      </c>
      <c r="L5">
        <v>93456.337043397056</v>
      </c>
      <c r="M5">
        <v>744155.66295660299</v>
      </c>
      <c r="N5">
        <v>299101.9556121318</v>
      </c>
    </row>
    <row r="6" spans="1:14" x14ac:dyDescent="0.25">
      <c r="A6" t="s">
        <v>17</v>
      </c>
      <c r="B6">
        <v>44998</v>
      </c>
      <c r="C6" t="s">
        <v>616</v>
      </c>
      <c r="D6" t="s">
        <v>618</v>
      </c>
      <c r="E6" t="s">
        <v>623</v>
      </c>
      <c r="F6" t="s">
        <v>626</v>
      </c>
      <c r="G6" t="s">
        <v>633</v>
      </c>
      <c r="H6">
        <v>5</v>
      </c>
      <c r="I6">
        <v>146393</v>
      </c>
      <c r="J6">
        <v>731965</v>
      </c>
      <c r="K6">
        <v>492654.32389423909</v>
      </c>
      <c r="L6">
        <v>140506.68685012721</v>
      </c>
      <c r="M6">
        <v>591458.3131498727</v>
      </c>
      <c r="N6">
        <v>98803.989255633613</v>
      </c>
    </row>
    <row r="7" spans="1:14" x14ac:dyDescent="0.25">
      <c r="A7" t="s">
        <v>18</v>
      </c>
      <c r="B7">
        <v>45627</v>
      </c>
      <c r="C7" t="s">
        <v>613</v>
      </c>
      <c r="D7" t="s">
        <v>619</v>
      </c>
      <c r="E7" t="s">
        <v>622</v>
      </c>
      <c r="F7" t="s">
        <v>626</v>
      </c>
      <c r="G7" t="s">
        <v>633</v>
      </c>
      <c r="H7">
        <v>1</v>
      </c>
      <c r="I7">
        <v>439458</v>
      </c>
      <c r="J7">
        <v>439458</v>
      </c>
      <c r="K7">
        <v>280899.14073390717</v>
      </c>
      <c r="L7">
        <v>4279.868137627268</v>
      </c>
      <c r="M7">
        <v>435178.13186237268</v>
      </c>
      <c r="N7">
        <v>154278.99112846551</v>
      </c>
    </row>
    <row r="8" spans="1:14" x14ac:dyDescent="0.25">
      <c r="A8" t="s">
        <v>19</v>
      </c>
      <c r="B8">
        <v>44947</v>
      </c>
      <c r="C8" t="s">
        <v>615</v>
      </c>
      <c r="D8" t="s">
        <v>618</v>
      </c>
      <c r="E8" t="s">
        <v>621</v>
      </c>
      <c r="F8" t="s">
        <v>628</v>
      </c>
      <c r="G8" t="s">
        <v>631</v>
      </c>
      <c r="H8">
        <v>3</v>
      </c>
      <c r="I8">
        <v>126312</v>
      </c>
      <c r="J8">
        <v>378936</v>
      </c>
      <c r="K8">
        <v>202962.94494475221</v>
      </c>
      <c r="L8">
        <v>7427.7280080149803</v>
      </c>
      <c r="M8">
        <v>371508.27199198498</v>
      </c>
      <c r="N8">
        <v>168545.32704723277</v>
      </c>
    </row>
    <row r="10" spans="1:14" x14ac:dyDescent="0.25">
      <c r="A10" t="s">
        <v>20</v>
      </c>
      <c r="B10">
        <v>45541</v>
      </c>
      <c r="C10" t="s">
        <v>613</v>
      </c>
      <c r="D10" t="s">
        <v>619</v>
      </c>
      <c r="E10" t="s">
        <v>621</v>
      </c>
      <c r="F10" t="s">
        <v>625</v>
      </c>
      <c r="G10" t="s">
        <v>631</v>
      </c>
      <c r="H10">
        <v>8</v>
      </c>
      <c r="I10">
        <v>387468</v>
      </c>
      <c r="J10">
        <v>3099744</v>
      </c>
      <c r="K10">
        <v>2461725.1435266351</v>
      </c>
      <c r="L10">
        <v>27318.57800152406</v>
      </c>
      <c r="M10">
        <v>3072425.4219984761</v>
      </c>
      <c r="N10">
        <v>610700.27847184101</v>
      </c>
    </row>
    <row r="11" spans="1:14" x14ac:dyDescent="0.25">
      <c r="A11" t="s">
        <v>21</v>
      </c>
      <c r="B11">
        <v>45048</v>
      </c>
      <c r="C11" t="s">
        <v>617</v>
      </c>
      <c r="D11" t="s">
        <v>618</v>
      </c>
      <c r="E11" t="s">
        <v>621</v>
      </c>
      <c r="F11" t="s">
        <v>629</v>
      </c>
      <c r="G11" t="s">
        <v>631</v>
      </c>
      <c r="H11">
        <v>8</v>
      </c>
      <c r="I11">
        <v>121196</v>
      </c>
      <c r="J11">
        <v>969568</v>
      </c>
      <c r="K11">
        <v>547232.6786648212</v>
      </c>
      <c r="L11">
        <v>35927.701044837937</v>
      </c>
      <c r="M11">
        <v>933640.29895516206</v>
      </c>
      <c r="N11">
        <v>386407.62029034086</v>
      </c>
    </row>
    <row r="12" spans="1:14" x14ac:dyDescent="0.25">
      <c r="A12" t="s">
        <v>22</v>
      </c>
      <c r="B12">
        <v>45393</v>
      </c>
      <c r="C12" t="s">
        <v>613</v>
      </c>
      <c r="D12" t="s">
        <v>618</v>
      </c>
      <c r="E12" t="s">
        <v>624</v>
      </c>
      <c r="F12" t="s">
        <v>629</v>
      </c>
      <c r="G12" t="s">
        <v>633</v>
      </c>
      <c r="H12">
        <v>4</v>
      </c>
      <c r="I12">
        <v>120014</v>
      </c>
      <c r="J12">
        <v>480056</v>
      </c>
      <c r="K12">
        <v>249710.8514672663</v>
      </c>
      <c r="L12">
        <v>51967.992875643649</v>
      </c>
      <c r="M12">
        <v>428088.00712435629</v>
      </c>
      <c r="N12">
        <v>178377.15565708998</v>
      </c>
    </row>
    <row r="13" spans="1:14" x14ac:dyDescent="0.25">
      <c r="A13" t="s">
        <v>23</v>
      </c>
      <c r="B13">
        <v>45141</v>
      </c>
      <c r="C13" t="s">
        <v>613</v>
      </c>
      <c r="D13" t="s">
        <v>618</v>
      </c>
      <c r="E13" t="s">
        <v>622</v>
      </c>
      <c r="F13" t="s">
        <v>627</v>
      </c>
      <c r="G13" t="s">
        <v>632</v>
      </c>
      <c r="H13">
        <v>2</v>
      </c>
      <c r="I13">
        <v>451426</v>
      </c>
      <c r="J13">
        <v>902852</v>
      </c>
      <c r="K13">
        <v>612543.74388341745</v>
      </c>
      <c r="L13">
        <v>116571.2270292233</v>
      </c>
      <c r="M13">
        <v>786280.77297077677</v>
      </c>
      <c r="N13">
        <v>173737.02908735932</v>
      </c>
    </row>
    <row r="14" spans="1:14" x14ac:dyDescent="0.25">
      <c r="A14" t="s">
        <v>24</v>
      </c>
      <c r="B14">
        <v>45257</v>
      </c>
      <c r="C14" t="s">
        <v>616</v>
      </c>
      <c r="D14" t="s">
        <v>618</v>
      </c>
      <c r="E14" t="s">
        <v>622</v>
      </c>
      <c r="F14" t="s">
        <v>626</v>
      </c>
      <c r="G14" t="s">
        <v>632</v>
      </c>
      <c r="H14">
        <v>8</v>
      </c>
      <c r="I14">
        <v>191994</v>
      </c>
      <c r="J14">
        <v>1535952</v>
      </c>
      <c r="K14">
        <v>1108435.125142751</v>
      </c>
      <c r="L14">
        <v>14003.322904314749</v>
      </c>
      <c r="M14">
        <v>1521948.6770956849</v>
      </c>
      <c r="N14">
        <v>413513.55195293389</v>
      </c>
    </row>
    <row r="15" spans="1:14" x14ac:dyDescent="0.25">
      <c r="A15" t="s">
        <v>25</v>
      </c>
      <c r="B15">
        <v>45385</v>
      </c>
      <c r="C15" t="s">
        <v>616</v>
      </c>
      <c r="D15" t="s">
        <v>618</v>
      </c>
      <c r="E15" t="s">
        <v>620</v>
      </c>
      <c r="F15" t="s">
        <v>627</v>
      </c>
      <c r="G15" t="s">
        <v>631</v>
      </c>
      <c r="H15">
        <v>8</v>
      </c>
      <c r="I15">
        <v>479505</v>
      </c>
      <c r="J15">
        <v>3836040</v>
      </c>
      <c r="K15">
        <v>1955356.307032455</v>
      </c>
      <c r="L15">
        <v>725756.43445666251</v>
      </c>
      <c r="M15">
        <v>3110283.5655433382</v>
      </c>
      <c r="N15">
        <v>1154927.2585108832</v>
      </c>
    </row>
    <row r="16" spans="1:14" x14ac:dyDescent="0.25">
      <c r="A16" t="s">
        <v>26</v>
      </c>
      <c r="B16">
        <v>45014</v>
      </c>
      <c r="C16" t="s">
        <v>616</v>
      </c>
      <c r="D16" t="s">
        <v>619</v>
      </c>
      <c r="E16" t="s">
        <v>620</v>
      </c>
      <c r="F16" t="s">
        <v>628</v>
      </c>
      <c r="G16" t="s">
        <v>631</v>
      </c>
      <c r="H16">
        <v>4</v>
      </c>
      <c r="I16">
        <v>83340</v>
      </c>
      <c r="J16">
        <v>333360</v>
      </c>
      <c r="K16">
        <v>232557.033613812</v>
      </c>
      <c r="L16">
        <v>56148.849992034207</v>
      </c>
      <c r="M16">
        <v>277211.1500079658</v>
      </c>
      <c r="N16">
        <v>44654.116394153796</v>
      </c>
    </row>
    <row r="18" spans="1:14" x14ac:dyDescent="0.25">
      <c r="A18" t="s">
        <v>27</v>
      </c>
      <c r="B18">
        <v>45299</v>
      </c>
      <c r="C18" t="s">
        <v>617</v>
      </c>
      <c r="D18" t="s">
        <v>618</v>
      </c>
      <c r="E18" t="s">
        <v>620</v>
      </c>
      <c r="F18" t="s">
        <v>628</v>
      </c>
      <c r="G18" t="s">
        <v>632</v>
      </c>
      <c r="H18">
        <v>3</v>
      </c>
      <c r="I18">
        <v>351994</v>
      </c>
      <c r="J18">
        <v>1055982</v>
      </c>
      <c r="K18">
        <v>696618.19192529074</v>
      </c>
      <c r="L18">
        <v>62643.488426642303</v>
      </c>
      <c r="M18">
        <v>993338.51157335774</v>
      </c>
      <c r="N18">
        <v>296720.319648067</v>
      </c>
    </row>
    <row r="19" spans="1:14" x14ac:dyDescent="0.25">
      <c r="A19" t="s">
        <v>28</v>
      </c>
      <c r="B19">
        <v>45026</v>
      </c>
      <c r="C19" t="s">
        <v>616</v>
      </c>
      <c r="D19" t="s">
        <v>618</v>
      </c>
      <c r="E19" t="s">
        <v>621</v>
      </c>
      <c r="F19" t="s">
        <v>630</v>
      </c>
      <c r="G19" t="s">
        <v>632</v>
      </c>
      <c r="H19">
        <v>2</v>
      </c>
      <c r="I19">
        <v>163711</v>
      </c>
      <c r="J19">
        <v>327422</v>
      </c>
      <c r="K19">
        <v>173854.37072076579</v>
      </c>
      <c r="L19">
        <v>5054.5791043621184</v>
      </c>
      <c r="M19">
        <v>322367.42089563789</v>
      </c>
      <c r="N19">
        <v>148513.0501748721</v>
      </c>
    </row>
    <row r="20" spans="1:14" x14ac:dyDescent="0.25">
      <c r="A20" t="s">
        <v>29</v>
      </c>
      <c r="B20">
        <v>45590</v>
      </c>
      <c r="C20" t="s">
        <v>615</v>
      </c>
      <c r="D20" t="s">
        <v>618</v>
      </c>
      <c r="E20" t="s">
        <v>622</v>
      </c>
      <c r="F20" t="s">
        <v>628</v>
      </c>
      <c r="G20" t="s">
        <v>631</v>
      </c>
      <c r="H20">
        <v>9</v>
      </c>
      <c r="I20">
        <v>265250</v>
      </c>
      <c r="J20">
        <v>2387250</v>
      </c>
      <c r="K20">
        <v>1317182.2875720609</v>
      </c>
      <c r="L20">
        <v>81112.583108438892</v>
      </c>
      <c r="M20">
        <v>2306137.4168915609</v>
      </c>
      <c r="N20">
        <v>988955.12931949995</v>
      </c>
    </row>
    <row r="21" spans="1:14" x14ac:dyDescent="0.25">
      <c r="A21" t="s">
        <v>30</v>
      </c>
      <c r="B21">
        <v>45057</v>
      </c>
      <c r="C21" t="s">
        <v>614</v>
      </c>
      <c r="D21" t="s">
        <v>619</v>
      </c>
      <c r="E21" t="s">
        <v>621</v>
      </c>
      <c r="F21" t="s">
        <v>630</v>
      </c>
      <c r="G21" t="s">
        <v>631</v>
      </c>
      <c r="H21">
        <v>1</v>
      </c>
      <c r="I21">
        <v>61094</v>
      </c>
      <c r="J21">
        <v>61094</v>
      </c>
      <c r="K21">
        <v>40956.946516068587</v>
      </c>
      <c r="L21">
        <v>1551.10840278926</v>
      </c>
      <c r="M21">
        <v>59542.891597210742</v>
      </c>
      <c r="N21">
        <v>18585.945081142156</v>
      </c>
    </row>
    <row r="22" spans="1:14" x14ac:dyDescent="0.25">
      <c r="A22" t="s">
        <v>31</v>
      </c>
      <c r="B22">
        <v>45588</v>
      </c>
      <c r="C22" t="s">
        <v>615</v>
      </c>
      <c r="D22" t="s">
        <v>618</v>
      </c>
      <c r="E22" t="s">
        <v>624</v>
      </c>
      <c r="F22" t="s">
        <v>625</v>
      </c>
      <c r="G22" t="s">
        <v>632</v>
      </c>
      <c r="H22">
        <v>7</v>
      </c>
      <c r="I22">
        <v>400103</v>
      </c>
      <c r="J22">
        <v>2800721</v>
      </c>
      <c r="K22">
        <v>1649364.9975029649</v>
      </c>
      <c r="L22">
        <v>69056.693928385139</v>
      </c>
      <c r="M22">
        <v>2731664.3060716148</v>
      </c>
      <c r="N22">
        <v>1082299.3085686499</v>
      </c>
    </row>
    <row r="23" spans="1:14" x14ac:dyDescent="0.25">
      <c r="A23" t="s">
        <v>32</v>
      </c>
      <c r="B23">
        <v>45235</v>
      </c>
      <c r="C23" t="s">
        <v>615</v>
      </c>
      <c r="D23" t="s">
        <v>619</v>
      </c>
      <c r="E23" t="s">
        <v>620</v>
      </c>
      <c r="F23" t="s">
        <v>627</v>
      </c>
      <c r="G23" t="s">
        <v>633</v>
      </c>
      <c r="H23">
        <v>5</v>
      </c>
      <c r="I23">
        <v>476634</v>
      </c>
      <c r="J23">
        <v>2383170</v>
      </c>
      <c r="K23">
        <v>1862434.7685149871</v>
      </c>
      <c r="L23">
        <v>247164.13191550341</v>
      </c>
      <c r="M23">
        <v>2136005.8680844959</v>
      </c>
      <c r="N23">
        <v>273571.09956950881</v>
      </c>
    </row>
    <row r="24" spans="1:14" x14ac:dyDescent="0.25">
      <c r="A24" t="s">
        <v>33</v>
      </c>
      <c r="B24">
        <v>45270</v>
      </c>
      <c r="C24" t="s">
        <v>616</v>
      </c>
      <c r="D24" t="s">
        <v>618</v>
      </c>
      <c r="E24" t="s">
        <v>621</v>
      </c>
      <c r="F24" t="s">
        <v>625</v>
      </c>
      <c r="G24" t="s">
        <v>631</v>
      </c>
      <c r="H24">
        <v>8</v>
      </c>
      <c r="I24">
        <v>317885</v>
      </c>
      <c r="J24">
        <v>2543080</v>
      </c>
      <c r="K24">
        <v>1896176.57083889</v>
      </c>
      <c r="L24">
        <v>125041.9428112233</v>
      </c>
      <c r="M24">
        <v>2418038.0571887768</v>
      </c>
      <c r="N24">
        <v>521861.48634988675</v>
      </c>
    </row>
    <row r="25" spans="1:14" x14ac:dyDescent="0.25">
      <c r="A25" t="s">
        <v>34</v>
      </c>
      <c r="B25">
        <v>45418</v>
      </c>
      <c r="C25" t="s">
        <v>614</v>
      </c>
      <c r="D25" t="s">
        <v>618</v>
      </c>
      <c r="E25" t="s">
        <v>621</v>
      </c>
      <c r="F25" t="s">
        <v>628</v>
      </c>
      <c r="G25" t="s">
        <v>632</v>
      </c>
      <c r="H25">
        <v>4</v>
      </c>
      <c r="I25">
        <v>161585</v>
      </c>
      <c r="J25">
        <v>646340</v>
      </c>
      <c r="K25">
        <v>513885.64847741241</v>
      </c>
      <c r="L25">
        <v>46296.004876289437</v>
      </c>
      <c r="M25">
        <v>600043.9951237106</v>
      </c>
      <c r="N25">
        <v>86158.346646298189</v>
      </c>
    </row>
    <row r="26" spans="1:14" x14ac:dyDescent="0.25">
      <c r="A26" t="s">
        <v>35</v>
      </c>
      <c r="B26">
        <v>45340</v>
      </c>
      <c r="C26" t="s">
        <v>614</v>
      </c>
      <c r="D26" t="s">
        <v>619</v>
      </c>
      <c r="E26" t="s">
        <v>624</v>
      </c>
      <c r="F26" t="s">
        <v>625</v>
      </c>
      <c r="G26" t="s">
        <v>632</v>
      </c>
      <c r="H26">
        <v>7</v>
      </c>
      <c r="I26">
        <v>434708</v>
      </c>
      <c r="J26">
        <v>3042956</v>
      </c>
      <c r="K26">
        <v>1758528.0812227591</v>
      </c>
      <c r="L26">
        <v>602204.2382507649</v>
      </c>
      <c r="M26">
        <v>2440751.761749235</v>
      </c>
      <c r="N26">
        <v>682223.68052647589</v>
      </c>
    </row>
    <row r="27" spans="1:14" x14ac:dyDescent="0.25">
      <c r="A27" t="s">
        <v>36</v>
      </c>
      <c r="B27">
        <v>45312</v>
      </c>
      <c r="C27" t="s">
        <v>614</v>
      </c>
      <c r="D27" t="s">
        <v>618</v>
      </c>
      <c r="E27" t="s">
        <v>623</v>
      </c>
      <c r="F27" t="s">
        <v>625</v>
      </c>
      <c r="G27" t="s">
        <v>632</v>
      </c>
      <c r="H27">
        <v>5</v>
      </c>
      <c r="I27">
        <v>118798</v>
      </c>
      <c r="J27">
        <v>593990</v>
      </c>
      <c r="K27">
        <v>469796.84219370107</v>
      </c>
      <c r="L27">
        <v>81295.164143833113</v>
      </c>
      <c r="M27">
        <v>512694.8358561669</v>
      </c>
      <c r="N27">
        <v>42897.993662465829</v>
      </c>
    </row>
    <row r="28" spans="1:14" x14ac:dyDescent="0.25">
      <c r="A28" t="s">
        <v>37</v>
      </c>
      <c r="B28">
        <v>45118</v>
      </c>
      <c r="C28" t="s">
        <v>617</v>
      </c>
      <c r="D28" t="s">
        <v>619</v>
      </c>
      <c r="E28" t="s">
        <v>622</v>
      </c>
      <c r="F28" t="s">
        <v>625</v>
      </c>
      <c r="G28" t="s">
        <v>632</v>
      </c>
      <c r="H28">
        <v>5</v>
      </c>
      <c r="I28">
        <v>428170</v>
      </c>
      <c r="J28">
        <v>2140850</v>
      </c>
      <c r="K28">
        <v>1347387.109042977</v>
      </c>
      <c r="L28">
        <v>406325.05220951448</v>
      </c>
      <c r="M28">
        <v>1734524.9477904851</v>
      </c>
      <c r="N28">
        <v>387137.83874750813</v>
      </c>
    </row>
    <row r="29" spans="1:14" x14ac:dyDescent="0.25">
      <c r="A29" t="s">
        <v>38</v>
      </c>
      <c r="B29">
        <v>45203</v>
      </c>
      <c r="C29" t="s">
        <v>616</v>
      </c>
      <c r="D29" t="s">
        <v>619</v>
      </c>
      <c r="E29" t="s">
        <v>623</v>
      </c>
      <c r="F29" t="s">
        <v>628</v>
      </c>
      <c r="G29" t="s">
        <v>633</v>
      </c>
      <c r="H29">
        <v>9</v>
      </c>
      <c r="I29">
        <v>251604</v>
      </c>
      <c r="J29">
        <v>2264436</v>
      </c>
      <c r="K29">
        <v>1368298.2212355291</v>
      </c>
      <c r="L29">
        <v>64562.03905059363</v>
      </c>
      <c r="M29">
        <v>2199873.960949406</v>
      </c>
      <c r="N29">
        <v>831575.73971387697</v>
      </c>
    </row>
    <row r="30" spans="1:14" x14ac:dyDescent="0.25">
      <c r="A30" t="s">
        <v>39</v>
      </c>
      <c r="B30">
        <v>45087</v>
      </c>
      <c r="C30" t="s">
        <v>614</v>
      </c>
      <c r="D30" t="s">
        <v>618</v>
      </c>
      <c r="E30" t="s">
        <v>620</v>
      </c>
      <c r="F30" t="s">
        <v>626</v>
      </c>
      <c r="G30" t="s">
        <v>632</v>
      </c>
      <c r="H30">
        <v>9</v>
      </c>
      <c r="I30">
        <v>160130</v>
      </c>
      <c r="J30">
        <v>1441170</v>
      </c>
      <c r="K30">
        <v>742353.66833472683</v>
      </c>
      <c r="L30">
        <v>110145.5893888908</v>
      </c>
      <c r="M30">
        <v>1331024.4106111091</v>
      </c>
      <c r="N30">
        <v>588670.74227638228</v>
      </c>
    </row>
    <row r="31" spans="1:14" x14ac:dyDescent="0.25">
      <c r="A31" t="s">
        <v>40</v>
      </c>
      <c r="B31">
        <v>45386</v>
      </c>
      <c r="C31" t="s">
        <v>617</v>
      </c>
      <c r="D31" t="s">
        <v>619</v>
      </c>
      <c r="E31" t="s">
        <v>621</v>
      </c>
      <c r="F31" t="s">
        <v>625</v>
      </c>
      <c r="G31" t="s">
        <v>631</v>
      </c>
      <c r="H31">
        <v>9</v>
      </c>
      <c r="I31">
        <v>334308</v>
      </c>
      <c r="J31">
        <v>3008772</v>
      </c>
      <c r="K31">
        <v>1552013.589126226</v>
      </c>
      <c r="L31">
        <v>333812.30344509112</v>
      </c>
      <c r="M31">
        <v>2674959.696554909</v>
      </c>
      <c r="N31">
        <v>1122946.107428683</v>
      </c>
    </row>
    <row r="32" spans="1:14" x14ac:dyDescent="0.25">
      <c r="A32" t="s">
        <v>41</v>
      </c>
      <c r="B32">
        <v>45240</v>
      </c>
      <c r="C32" t="s">
        <v>613</v>
      </c>
      <c r="D32" t="s">
        <v>618</v>
      </c>
      <c r="E32" t="s">
        <v>624</v>
      </c>
      <c r="F32" t="s">
        <v>630</v>
      </c>
      <c r="G32" t="s">
        <v>633</v>
      </c>
      <c r="H32">
        <v>6</v>
      </c>
      <c r="I32">
        <v>216667</v>
      </c>
      <c r="J32">
        <v>1300002</v>
      </c>
      <c r="K32">
        <v>919885.80502594891</v>
      </c>
      <c r="L32">
        <v>19957.126794296641</v>
      </c>
      <c r="M32">
        <v>1280044.873205703</v>
      </c>
      <c r="N32">
        <v>360159.06817975407</v>
      </c>
    </row>
    <row r="33" spans="1:14" x14ac:dyDescent="0.25">
      <c r="A33" t="s">
        <v>42</v>
      </c>
      <c r="B33">
        <v>44948</v>
      </c>
      <c r="C33" t="s">
        <v>613</v>
      </c>
      <c r="D33" t="s">
        <v>618</v>
      </c>
      <c r="E33" t="s">
        <v>624</v>
      </c>
      <c r="F33" t="s">
        <v>628</v>
      </c>
      <c r="G33" t="s">
        <v>632</v>
      </c>
      <c r="H33">
        <v>6</v>
      </c>
      <c r="I33">
        <v>80257</v>
      </c>
      <c r="J33">
        <v>481542</v>
      </c>
      <c r="K33">
        <v>306924.6131513252</v>
      </c>
      <c r="L33">
        <v>403.2859958988173</v>
      </c>
      <c r="M33">
        <v>481138.71400410117</v>
      </c>
      <c r="N33">
        <v>174214.10085277597</v>
      </c>
    </row>
    <row r="34" spans="1:14" x14ac:dyDescent="0.25">
      <c r="A34" t="s">
        <v>43</v>
      </c>
      <c r="B34">
        <v>45179</v>
      </c>
      <c r="C34" t="s">
        <v>617</v>
      </c>
      <c r="D34" t="s">
        <v>619</v>
      </c>
      <c r="E34" t="s">
        <v>622</v>
      </c>
      <c r="F34" t="s">
        <v>625</v>
      </c>
      <c r="G34" t="s">
        <v>633</v>
      </c>
      <c r="H34">
        <v>5</v>
      </c>
      <c r="I34">
        <v>457427</v>
      </c>
      <c r="J34">
        <v>2287135</v>
      </c>
      <c r="K34">
        <v>1298993.161749227</v>
      </c>
      <c r="L34">
        <v>306674.76600572257</v>
      </c>
      <c r="M34">
        <v>1980460.233994277</v>
      </c>
      <c r="N34">
        <v>681467.07224504999</v>
      </c>
    </row>
    <row r="35" spans="1:14" x14ac:dyDescent="0.25">
      <c r="A35" t="s">
        <v>44</v>
      </c>
      <c r="B35">
        <v>45487</v>
      </c>
      <c r="C35" t="s">
        <v>617</v>
      </c>
      <c r="D35" t="s">
        <v>619</v>
      </c>
      <c r="E35" t="s">
        <v>623</v>
      </c>
      <c r="F35" t="s">
        <v>626</v>
      </c>
      <c r="G35" t="s">
        <v>631</v>
      </c>
      <c r="H35">
        <v>9</v>
      </c>
      <c r="I35">
        <v>408133</v>
      </c>
      <c r="J35">
        <v>3673197</v>
      </c>
      <c r="K35">
        <v>2513168.666184878</v>
      </c>
      <c r="L35">
        <v>471505.90473129641</v>
      </c>
      <c r="M35">
        <v>3201691.095268704</v>
      </c>
      <c r="N35">
        <v>688522.42908382602</v>
      </c>
    </row>
    <row r="36" spans="1:14" x14ac:dyDescent="0.25">
      <c r="A36" t="s">
        <v>45</v>
      </c>
      <c r="B36">
        <v>45401</v>
      </c>
      <c r="C36" t="s">
        <v>616</v>
      </c>
      <c r="D36" t="s">
        <v>619</v>
      </c>
      <c r="E36" t="s">
        <v>622</v>
      </c>
      <c r="F36" t="s">
        <v>628</v>
      </c>
      <c r="G36" t="s">
        <v>632</v>
      </c>
      <c r="H36">
        <v>8</v>
      </c>
      <c r="I36">
        <v>448448</v>
      </c>
      <c r="J36">
        <v>3587584</v>
      </c>
      <c r="K36">
        <v>2065936.921791262</v>
      </c>
      <c r="L36">
        <v>294747.87242672947</v>
      </c>
      <c r="M36">
        <v>3292836.1275732699</v>
      </c>
      <c r="N36">
        <v>1226899.2057820079</v>
      </c>
    </row>
    <row r="37" spans="1:14" x14ac:dyDescent="0.25">
      <c r="A37" t="s">
        <v>46</v>
      </c>
      <c r="B37">
        <v>44985</v>
      </c>
      <c r="C37" t="s">
        <v>616</v>
      </c>
      <c r="D37" t="s">
        <v>619</v>
      </c>
      <c r="E37" t="s">
        <v>621</v>
      </c>
      <c r="F37" t="s">
        <v>629</v>
      </c>
      <c r="G37" t="s">
        <v>631</v>
      </c>
      <c r="H37">
        <v>7</v>
      </c>
      <c r="I37">
        <v>102691</v>
      </c>
      <c r="J37">
        <v>718837</v>
      </c>
      <c r="K37">
        <v>483985.42321930447</v>
      </c>
      <c r="L37">
        <v>70394.85573652765</v>
      </c>
      <c r="M37">
        <v>648442.14426347241</v>
      </c>
      <c r="N37">
        <v>164456.72104416793</v>
      </c>
    </row>
    <row r="38" spans="1:14" x14ac:dyDescent="0.25">
      <c r="A38" t="s">
        <v>47</v>
      </c>
      <c r="B38">
        <v>45437</v>
      </c>
      <c r="C38" t="s">
        <v>613</v>
      </c>
      <c r="D38" t="s">
        <v>618</v>
      </c>
      <c r="E38" t="s">
        <v>622</v>
      </c>
      <c r="F38" t="s">
        <v>626</v>
      </c>
      <c r="G38" t="s">
        <v>632</v>
      </c>
      <c r="H38">
        <v>7</v>
      </c>
      <c r="I38">
        <v>129768</v>
      </c>
      <c r="J38">
        <v>908376</v>
      </c>
      <c r="K38">
        <v>552076.98142474447</v>
      </c>
      <c r="L38">
        <v>75475.690221167999</v>
      </c>
      <c r="M38">
        <v>832900.30977883202</v>
      </c>
      <c r="N38">
        <v>280823.32835408754</v>
      </c>
    </row>
    <row r="39" spans="1:14" x14ac:dyDescent="0.25">
      <c r="A39" t="s">
        <v>48</v>
      </c>
      <c r="B39">
        <v>45608</v>
      </c>
      <c r="C39" t="s">
        <v>614</v>
      </c>
      <c r="D39" t="s">
        <v>618</v>
      </c>
      <c r="E39" t="s">
        <v>624</v>
      </c>
      <c r="F39" t="s">
        <v>630</v>
      </c>
      <c r="G39" t="s">
        <v>632</v>
      </c>
      <c r="H39">
        <v>6</v>
      </c>
      <c r="I39">
        <v>468829</v>
      </c>
      <c r="J39">
        <v>2812974</v>
      </c>
      <c r="K39">
        <v>2101476.3003303469</v>
      </c>
      <c r="L39">
        <v>13505.11340350128</v>
      </c>
      <c r="M39">
        <v>2799468.886596499</v>
      </c>
      <c r="N39">
        <v>697992.5862661521</v>
      </c>
    </row>
    <row r="40" spans="1:14" x14ac:dyDescent="0.25">
      <c r="A40" t="s">
        <v>49</v>
      </c>
      <c r="B40">
        <v>45402</v>
      </c>
      <c r="C40" t="s">
        <v>613</v>
      </c>
      <c r="D40" t="s">
        <v>619</v>
      </c>
      <c r="E40" t="s">
        <v>624</v>
      </c>
      <c r="F40" t="s">
        <v>625</v>
      </c>
      <c r="G40" t="s">
        <v>632</v>
      </c>
      <c r="H40">
        <v>5</v>
      </c>
      <c r="I40">
        <v>64026</v>
      </c>
      <c r="J40">
        <v>320130</v>
      </c>
      <c r="K40">
        <v>238883.83858388069</v>
      </c>
      <c r="L40">
        <v>21472.50245967925</v>
      </c>
      <c r="M40">
        <v>298657.49754032068</v>
      </c>
      <c r="N40">
        <v>59773.658956439991</v>
      </c>
    </row>
    <row r="41" spans="1:14" x14ac:dyDescent="0.25">
      <c r="A41" t="s">
        <v>50</v>
      </c>
      <c r="B41">
        <v>45626</v>
      </c>
      <c r="C41" t="s">
        <v>614</v>
      </c>
      <c r="D41" t="s">
        <v>618</v>
      </c>
      <c r="E41" t="s">
        <v>620</v>
      </c>
      <c r="F41" t="s">
        <v>629</v>
      </c>
      <c r="G41" t="s">
        <v>632</v>
      </c>
      <c r="H41">
        <v>4</v>
      </c>
      <c r="I41">
        <v>496751</v>
      </c>
      <c r="J41">
        <v>1987004</v>
      </c>
      <c r="K41">
        <v>1278051.1451412409</v>
      </c>
      <c r="L41">
        <v>70372.629960687307</v>
      </c>
      <c r="M41">
        <v>1916631.3700393131</v>
      </c>
      <c r="N41">
        <v>638580.22489807219</v>
      </c>
    </row>
    <row r="42" spans="1:14" x14ac:dyDescent="0.25">
      <c r="A42" t="s">
        <v>51</v>
      </c>
      <c r="B42">
        <v>45116</v>
      </c>
      <c r="C42" t="s">
        <v>614</v>
      </c>
      <c r="D42" t="s">
        <v>618</v>
      </c>
      <c r="E42" t="s">
        <v>620</v>
      </c>
      <c r="F42" t="s">
        <v>629</v>
      </c>
      <c r="G42" t="s">
        <v>632</v>
      </c>
      <c r="H42">
        <v>3</v>
      </c>
      <c r="I42">
        <v>275162</v>
      </c>
      <c r="J42">
        <v>825486</v>
      </c>
      <c r="K42">
        <v>499621.87898655748</v>
      </c>
      <c r="L42">
        <v>16249.5580329065</v>
      </c>
      <c r="M42">
        <v>809236.4419670935</v>
      </c>
      <c r="N42">
        <v>309614.56298053602</v>
      </c>
    </row>
    <row r="43" spans="1:14" x14ac:dyDescent="0.25">
      <c r="A43" t="s">
        <v>52</v>
      </c>
      <c r="B43">
        <v>45613</v>
      </c>
      <c r="C43" t="s">
        <v>616</v>
      </c>
      <c r="D43" t="s">
        <v>618</v>
      </c>
      <c r="E43" t="s">
        <v>621</v>
      </c>
      <c r="F43" t="s">
        <v>628</v>
      </c>
      <c r="G43" t="s">
        <v>633</v>
      </c>
      <c r="H43">
        <v>3</v>
      </c>
      <c r="I43">
        <v>343052</v>
      </c>
      <c r="J43">
        <v>1029156</v>
      </c>
      <c r="K43">
        <v>626517.17699627148</v>
      </c>
      <c r="L43">
        <v>196922.91497196551</v>
      </c>
      <c r="M43">
        <v>832233.0850280344</v>
      </c>
      <c r="N43">
        <v>205715.90803176293</v>
      </c>
    </row>
    <row r="44" spans="1:14" x14ac:dyDescent="0.25">
      <c r="A44" t="s">
        <v>53</v>
      </c>
      <c r="B44">
        <v>45489</v>
      </c>
      <c r="C44" t="s">
        <v>615</v>
      </c>
      <c r="D44" t="s">
        <v>618</v>
      </c>
      <c r="E44" t="s">
        <v>623</v>
      </c>
      <c r="F44" t="s">
        <v>629</v>
      </c>
      <c r="G44" t="s">
        <v>632</v>
      </c>
      <c r="H44">
        <v>6</v>
      </c>
      <c r="I44">
        <v>495329</v>
      </c>
      <c r="J44">
        <v>2971974</v>
      </c>
      <c r="K44">
        <v>2204355.7865124829</v>
      </c>
      <c r="L44">
        <v>356256.30389449297</v>
      </c>
      <c r="M44">
        <v>2615717.6961055072</v>
      </c>
      <c r="N44">
        <v>411361.90959302429</v>
      </c>
    </row>
    <row r="45" spans="1:14" x14ac:dyDescent="0.25">
      <c r="A45" t="s">
        <v>54</v>
      </c>
      <c r="B45">
        <v>45493</v>
      </c>
      <c r="C45" t="s">
        <v>615</v>
      </c>
      <c r="D45" t="s">
        <v>619</v>
      </c>
      <c r="E45" t="s">
        <v>622</v>
      </c>
      <c r="F45" t="s">
        <v>630</v>
      </c>
      <c r="G45" t="s">
        <v>632</v>
      </c>
      <c r="H45">
        <v>4</v>
      </c>
      <c r="I45">
        <v>69610</v>
      </c>
      <c r="J45">
        <v>278440</v>
      </c>
      <c r="K45">
        <v>166633.48855705021</v>
      </c>
      <c r="L45">
        <v>40577.411156567927</v>
      </c>
      <c r="M45">
        <v>237862.58884343211</v>
      </c>
      <c r="N45">
        <v>71229.100286381901</v>
      </c>
    </row>
    <row r="46" spans="1:14" x14ac:dyDescent="0.25">
      <c r="A46" t="s">
        <v>55</v>
      </c>
      <c r="B46">
        <v>45170</v>
      </c>
      <c r="C46" t="s">
        <v>617</v>
      </c>
      <c r="D46" t="s">
        <v>619</v>
      </c>
      <c r="E46" t="s">
        <v>621</v>
      </c>
      <c r="F46" t="s">
        <v>630</v>
      </c>
      <c r="G46" t="s">
        <v>633</v>
      </c>
      <c r="H46">
        <v>6</v>
      </c>
      <c r="I46">
        <v>227718</v>
      </c>
      <c r="J46">
        <v>1366308</v>
      </c>
      <c r="K46">
        <v>768845.84843119606</v>
      </c>
      <c r="L46">
        <v>86176.801066888496</v>
      </c>
      <c r="M46">
        <v>1280131.198933112</v>
      </c>
      <c r="N46">
        <v>511285.35050191591</v>
      </c>
    </row>
    <row r="47" spans="1:14" x14ac:dyDescent="0.25">
      <c r="A47" t="s">
        <v>56</v>
      </c>
      <c r="B47">
        <v>45431</v>
      </c>
      <c r="C47" t="s">
        <v>616</v>
      </c>
      <c r="D47" t="s">
        <v>618</v>
      </c>
      <c r="E47" t="s">
        <v>620</v>
      </c>
      <c r="F47" t="s">
        <v>627</v>
      </c>
      <c r="G47" t="s">
        <v>633</v>
      </c>
      <c r="H47">
        <v>3</v>
      </c>
      <c r="I47">
        <v>375329</v>
      </c>
      <c r="J47">
        <v>1125987</v>
      </c>
      <c r="K47">
        <v>591600.89160094527</v>
      </c>
      <c r="L47">
        <v>88535.711379515546</v>
      </c>
      <c r="M47">
        <v>1037451.2886204839</v>
      </c>
      <c r="N47">
        <v>445850.39701953868</v>
      </c>
    </row>
    <row r="48" spans="1:14" x14ac:dyDescent="0.25">
      <c r="A48" t="s">
        <v>57</v>
      </c>
      <c r="B48">
        <v>45057</v>
      </c>
      <c r="C48" t="s">
        <v>614</v>
      </c>
      <c r="D48" t="s">
        <v>619</v>
      </c>
      <c r="E48" t="s">
        <v>622</v>
      </c>
      <c r="F48" t="s">
        <v>630</v>
      </c>
      <c r="G48" t="s">
        <v>633</v>
      </c>
      <c r="H48">
        <v>4</v>
      </c>
      <c r="I48">
        <v>384711</v>
      </c>
      <c r="J48">
        <v>1538844</v>
      </c>
      <c r="K48">
        <v>984872.37267427414</v>
      </c>
      <c r="L48">
        <v>72917.813292801919</v>
      </c>
      <c r="M48">
        <v>1465926.1867071979</v>
      </c>
      <c r="N48">
        <v>481053.81403292378</v>
      </c>
    </row>
    <row r="49" spans="1:14" x14ac:dyDescent="0.25">
      <c r="A49" t="s">
        <v>58</v>
      </c>
      <c r="B49">
        <v>45411</v>
      </c>
      <c r="C49" t="s">
        <v>615</v>
      </c>
      <c r="D49" t="s">
        <v>619</v>
      </c>
      <c r="E49" t="s">
        <v>620</v>
      </c>
      <c r="F49" t="s">
        <v>626</v>
      </c>
      <c r="G49" t="s">
        <v>633</v>
      </c>
      <c r="H49">
        <v>9</v>
      </c>
      <c r="I49">
        <v>228646</v>
      </c>
      <c r="J49">
        <v>2057814</v>
      </c>
      <c r="K49">
        <v>1326548.4549019909</v>
      </c>
      <c r="L49">
        <v>39907.463046408913</v>
      </c>
      <c r="M49">
        <v>2017906.536953591</v>
      </c>
      <c r="N49">
        <v>691358.0820516001</v>
      </c>
    </row>
    <row r="50" spans="1:14" x14ac:dyDescent="0.25">
      <c r="A50" t="s">
        <v>59</v>
      </c>
      <c r="B50">
        <v>45573</v>
      </c>
      <c r="C50" t="s">
        <v>614</v>
      </c>
      <c r="D50" t="s">
        <v>619</v>
      </c>
      <c r="E50" t="s">
        <v>622</v>
      </c>
      <c r="F50" t="s">
        <v>629</v>
      </c>
      <c r="G50" t="s">
        <v>633</v>
      </c>
      <c r="H50">
        <v>5</v>
      </c>
      <c r="I50">
        <v>272123</v>
      </c>
      <c r="J50">
        <v>1360615</v>
      </c>
      <c r="K50">
        <v>1023553.401501455</v>
      </c>
      <c r="L50">
        <v>48718.626275516108</v>
      </c>
      <c r="M50">
        <v>1311896.3737244839</v>
      </c>
      <c r="N50">
        <v>288342.97222302889</v>
      </c>
    </row>
    <row r="51" spans="1:14" x14ac:dyDescent="0.25">
      <c r="A51" t="s">
        <v>60</v>
      </c>
      <c r="B51">
        <v>44947</v>
      </c>
      <c r="C51" t="s">
        <v>615</v>
      </c>
      <c r="D51" t="s">
        <v>618</v>
      </c>
      <c r="E51" t="s">
        <v>623</v>
      </c>
      <c r="F51" t="s">
        <v>630</v>
      </c>
      <c r="G51" t="s">
        <v>633</v>
      </c>
      <c r="H51">
        <v>7</v>
      </c>
      <c r="I51">
        <v>348326</v>
      </c>
      <c r="J51">
        <v>2438282</v>
      </c>
      <c r="K51">
        <v>1380973.699374371</v>
      </c>
      <c r="L51">
        <v>388912.82827872131</v>
      </c>
      <c r="M51">
        <v>2049369.1717212789</v>
      </c>
      <c r="N51">
        <v>668395.47234690795</v>
      </c>
    </row>
    <row r="52" spans="1:14" x14ac:dyDescent="0.25">
      <c r="A52" t="s">
        <v>61</v>
      </c>
      <c r="B52">
        <v>45093</v>
      </c>
      <c r="C52" t="s">
        <v>615</v>
      </c>
      <c r="D52" t="s">
        <v>618</v>
      </c>
      <c r="E52" t="s">
        <v>621</v>
      </c>
      <c r="F52" t="s">
        <v>628</v>
      </c>
      <c r="G52" t="s">
        <v>632</v>
      </c>
      <c r="H52">
        <v>2</v>
      </c>
      <c r="I52">
        <v>428280</v>
      </c>
      <c r="J52">
        <v>856560</v>
      </c>
      <c r="K52">
        <v>526182.56561202137</v>
      </c>
      <c r="L52">
        <v>116071.726977643</v>
      </c>
      <c r="M52">
        <v>740488.27302235703</v>
      </c>
      <c r="N52">
        <v>214305.70741033566</v>
      </c>
    </row>
    <row r="53" spans="1:14" x14ac:dyDescent="0.25">
      <c r="A53" t="s">
        <v>62</v>
      </c>
      <c r="B53">
        <v>45200</v>
      </c>
      <c r="C53" t="s">
        <v>615</v>
      </c>
      <c r="D53" t="s">
        <v>618</v>
      </c>
      <c r="E53" t="s">
        <v>622</v>
      </c>
      <c r="F53" t="s">
        <v>627</v>
      </c>
      <c r="G53" t="s">
        <v>632</v>
      </c>
      <c r="H53">
        <v>5</v>
      </c>
      <c r="I53">
        <v>443786</v>
      </c>
      <c r="J53">
        <v>2218930</v>
      </c>
      <c r="K53">
        <v>1647603.7238610131</v>
      </c>
      <c r="L53">
        <v>242719.3781580909</v>
      </c>
      <c r="M53">
        <v>1976210.6218419089</v>
      </c>
      <c r="N53">
        <v>328606.89798089582</v>
      </c>
    </row>
    <row r="54" spans="1:14" x14ac:dyDescent="0.25">
      <c r="A54" t="s">
        <v>63</v>
      </c>
      <c r="B54">
        <v>45314</v>
      </c>
      <c r="C54" t="s">
        <v>616</v>
      </c>
      <c r="D54" t="s">
        <v>619</v>
      </c>
      <c r="E54" t="s">
        <v>624</v>
      </c>
      <c r="F54" t="s">
        <v>629</v>
      </c>
      <c r="G54" t="s">
        <v>631</v>
      </c>
      <c r="H54">
        <v>9</v>
      </c>
      <c r="I54">
        <v>69288</v>
      </c>
      <c r="J54">
        <v>623592</v>
      </c>
      <c r="K54">
        <v>465877.52840225218</v>
      </c>
      <c r="L54">
        <v>59252.448800146733</v>
      </c>
      <c r="M54">
        <v>564339.5511998533</v>
      </c>
      <c r="N54">
        <v>98462.022797601123</v>
      </c>
    </row>
    <row r="55" spans="1:14" x14ac:dyDescent="0.25">
      <c r="A55" t="s">
        <v>64</v>
      </c>
      <c r="B55">
        <v>45527</v>
      </c>
      <c r="C55" t="s">
        <v>613</v>
      </c>
      <c r="D55" t="s">
        <v>618</v>
      </c>
      <c r="E55" t="s">
        <v>624</v>
      </c>
      <c r="F55" t="s">
        <v>627</v>
      </c>
      <c r="G55" t="s">
        <v>632</v>
      </c>
      <c r="H55">
        <v>3</v>
      </c>
      <c r="I55">
        <v>390968</v>
      </c>
      <c r="J55">
        <v>1172904</v>
      </c>
      <c r="K55">
        <v>721785.56083794043</v>
      </c>
      <c r="L55">
        <v>216385.3722074806</v>
      </c>
      <c r="M55">
        <v>956518.6277925194</v>
      </c>
      <c r="N55">
        <v>234733.06695457897</v>
      </c>
    </row>
    <row r="56" spans="1:14" x14ac:dyDescent="0.25">
      <c r="A56" t="s">
        <v>65</v>
      </c>
      <c r="B56">
        <v>45242</v>
      </c>
      <c r="C56" t="s">
        <v>614</v>
      </c>
      <c r="D56" t="s">
        <v>618</v>
      </c>
      <c r="E56" t="s">
        <v>622</v>
      </c>
      <c r="F56" t="s">
        <v>629</v>
      </c>
      <c r="G56" t="s">
        <v>632</v>
      </c>
      <c r="H56">
        <v>9</v>
      </c>
      <c r="I56">
        <v>473093</v>
      </c>
      <c r="J56">
        <v>4257837</v>
      </c>
      <c r="K56">
        <v>2715381.0761816679</v>
      </c>
      <c r="L56">
        <v>61938.710369016429</v>
      </c>
      <c r="M56">
        <v>4195898.289630984</v>
      </c>
      <c r="N56">
        <v>1480517.2134493161</v>
      </c>
    </row>
    <row r="57" spans="1:14" x14ac:dyDescent="0.25">
      <c r="A57" t="s">
        <v>66</v>
      </c>
      <c r="B57">
        <v>44940</v>
      </c>
      <c r="C57" t="s">
        <v>616</v>
      </c>
      <c r="D57" t="s">
        <v>619</v>
      </c>
      <c r="E57" t="s">
        <v>622</v>
      </c>
      <c r="F57" t="s">
        <v>628</v>
      </c>
      <c r="G57" t="s">
        <v>633</v>
      </c>
      <c r="H57">
        <v>6</v>
      </c>
      <c r="I57">
        <v>134425</v>
      </c>
      <c r="J57">
        <v>806550</v>
      </c>
      <c r="K57">
        <v>476659.57057934679</v>
      </c>
      <c r="L57">
        <v>45263.717183408233</v>
      </c>
      <c r="M57">
        <v>761286.28281659179</v>
      </c>
      <c r="N57">
        <v>284626.712237245</v>
      </c>
    </row>
    <row r="58" spans="1:14" x14ac:dyDescent="0.25">
      <c r="A58" t="s">
        <v>67</v>
      </c>
      <c r="B58">
        <v>45168</v>
      </c>
      <c r="C58" t="s">
        <v>616</v>
      </c>
      <c r="D58" t="s">
        <v>618</v>
      </c>
      <c r="E58" t="s">
        <v>622</v>
      </c>
      <c r="F58" t="s">
        <v>627</v>
      </c>
      <c r="G58" t="s">
        <v>633</v>
      </c>
      <c r="H58">
        <v>4</v>
      </c>
      <c r="I58">
        <v>50917</v>
      </c>
      <c r="J58">
        <v>203668</v>
      </c>
      <c r="K58">
        <v>158813.47609337131</v>
      </c>
      <c r="L58">
        <v>14254.22855220804</v>
      </c>
      <c r="M58">
        <v>189413.77144779201</v>
      </c>
      <c r="N58">
        <v>30600.295354420698</v>
      </c>
    </row>
    <row r="59" spans="1:14" x14ac:dyDescent="0.25">
      <c r="A59" t="s">
        <v>68</v>
      </c>
      <c r="B59">
        <v>45272</v>
      </c>
      <c r="C59" t="s">
        <v>616</v>
      </c>
      <c r="D59" t="s">
        <v>618</v>
      </c>
      <c r="E59" t="s">
        <v>624</v>
      </c>
      <c r="F59" t="s">
        <v>625</v>
      </c>
      <c r="G59" t="s">
        <v>632</v>
      </c>
      <c r="H59">
        <v>7</v>
      </c>
      <c r="I59">
        <v>387746</v>
      </c>
      <c r="J59">
        <v>2714222</v>
      </c>
      <c r="K59">
        <v>1453718.6557415931</v>
      </c>
      <c r="L59">
        <v>424735.47057516349</v>
      </c>
      <c r="M59">
        <v>2289486.5294248359</v>
      </c>
      <c r="N59">
        <v>835767.87368324283</v>
      </c>
    </row>
    <row r="60" spans="1:14" x14ac:dyDescent="0.25">
      <c r="A60" t="s">
        <v>69</v>
      </c>
      <c r="B60">
        <v>45491</v>
      </c>
      <c r="C60" t="s">
        <v>616</v>
      </c>
      <c r="D60" t="s">
        <v>619</v>
      </c>
      <c r="E60" t="s">
        <v>624</v>
      </c>
      <c r="F60" t="s">
        <v>626</v>
      </c>
      <c r="G60" t="s">
        <v>631</v>
      </c>
      <c r="H60">
        <v>8</v>
      </c>
      <c r="I60">
        <v>376719</v>
      </c>
      <c r="J60">
        <v>3013752</v>
      </c>
      <c r="K60">
        <v>2351102.7573208581</v>
      </c>
      <c r="L60">
        <v>598238.5843084763</v>
      </c>
      <c r="M60">
        <v>2415513.4156915238</v>
      </c>
      <c r="N60">
        <v>64410.65837066574</v>
      </c>
    </row>
    <row r="61" spans="1:14" x14ac:dyDescent="0.25">
      <c r="A61" t="s">
        <v>70</v>
      </c>
      <c r="B61">
        <v>45266</v>
      </c>
      <c r="C61" t="s">
        <v>616</v>
      </c>
      <c r="D61" t="s">
        <v>619</v>
      </c>
      <c r="E61" t="s">
        <v>622</v>
      </c>
      <c r="F61" t="s">
        <v>626</v>
      </c>
      <c r="G61" t="s">
        <v>633</v>
      </c>
      <c r="H61">
        <v>6</v>
      </c>
      <c r="I61">
        <v>384662</v>
      </c>
      <c r="J61">
        <v>2307972</v>
      </c>
      <c r="K61">
        <v>1627489.386772596</v>
      </c>
      <c r="L61">
        <v>111092.16185701919</v>
      </c>
      <c r="M61">
        <v>2196879.8381429808</v>
      </c>
      <c r="N61">
        <v>569390.45137038478</v>
      </c>
    </row>
    <row r="62" spans="1:14" x14ac:dyDescent="0.25">
      <c r="A62" t="s">
        <v>71</v>
      </c>
      <c r="B62">
        <v>45018</v>
      </c>
      <c r="C62" t="s">
        <v>617</v>
      </c>
      <c r="D62" t="s">
        <v>619</v>
      </c>
      <c r="E62" t="s">
        <v>620</v>
      </c>
      <c r="F62" t="s">
        <v>629</v>
      </c>
      <c r="G62" t="s">
        <v>632</v>
      </c>
      <c r="H62">
        <v>5</v>
      </c>
      <c r="I62">
        <v>303187</v>
      </c>
      <c r="J62">
        <v>1515935</v>
      </c>
      <c r="K62">
        <v>999716.14938494796</v>
      </c>
      <c r="L62">
        <v>265078.61771501909</v>
      </c>
      <c r="M62">
        <v>1250856.382284981</v>
      </c>
      <c r="N62">
        <v>251140.23290003301</v>
      </c>
    </row>
    <row r="63" spans="1:14" x14ac:dyDescent="0.25">
      <c r="A63" t="s">
        <v>72</v>
      </c>
      <c r="B63">
        <v>45293</v>
      </c>
      <c r="C63" t="s">
        <v>614</v>
      </c>
      <c r="D63" t="s">
        <v>618</v>
      </c>
      <c r="E63" t="s">
        <v>620</v>
      </c>
      <c r="F63" t="s">
        <v>625</v>
      </c>
      <c r="G63" t="s">
        <v>632</v>
      </c>
      <c r="H63">
        <v>6</v>
      </c>
      <c r="I63">
        <v>89104</v>
      </c>
      <c r="J63">
        <v>534624</v>
      </c>
      <c r="K63">
        <v>272550.0953138551</v>
      </c>
      <c r="L63">
        <v>88814.172534617202</v>
      </c>
      <c r="M63">
        <v>445809.82746538281</v>
      </c>
      <c r="N63">
        <v>173259.73215152771</v>
      </c>
    </row>
    <row r="64" spans="1:14" x14ac:dyDescent="0.25">
      <c r="A64" t="s">
        <v>73</v>
      </c>
      <c r="B64">
        <v>45381</v>
      </c>
      <c r="C64" t="s">
        <v>616</v>
      </c>
      <c r="D64" t="s">
        <v>618</v>
      </c>
      <c r="E64" t="s">
        <v>623</v>
      </c>
      <c r="F64" t="s">
        <v>627</v>
      </c>
      <c r="G64" t="s">
        <v>631</v>
      </c>
      <c r="H64">
        <v>5</v>
      </c>
      <c r="I64">
        <v>199134</v>
      </c>
      <c r="J64">
        <v>995670</v>
      </c>
      <c r="K64">
        <v>639896.0580934257</v>
      </c>
      <c r="L64">
        <v>44736.926221995564</v>
      </c>
      <c r="M64">
        <v>950933.07377800439</v>
      </c>
      <c r="N64">
        <v>311037.01568457868</v>
      </c>
    </row>
    <row r="65" spans="1:14" x14ac:dyDescent="0.25">
      <c r="A65" t="s">
        <v>74</v>
      </c>
      <c r="B65">
        <v>45354</v>
      </c>
      <c r="C65" t="s">
        <v>614</v>
      </c>
      <c r="D65" t="s">
        <v>618</v>
      </c>
      <c r="E65" t="s">
        <v>621</v>
      </c>
      <c r="F65" t="s">
        <v>625</v>
      </c>
      <c r="G65" t="s">
        <v>631</v>
      </c>
      <c r="H65">
        <v>8</v>
      </c>
      <c r="I65">
        <v>329143</v>
      </c>
      <c r="J65">
        <v>2633144</v>
      </c>
      <c r="K65">
        <v>1638669.8428597939</v>
      </c>
      <c r="L65">
        <v>210300.03751122029</v>
      </c>
      <c r="M65">
        <v>2422843.9624887798</v>
      </c>
      <c r="N65">
        <v>784174.11962898588</v>
      </c>
    </row>
    <row r="66" spans="1:14" x14ac:dyDescent="0.25">
      <c r="A66" t="s">
        <v>75</v>
      </c>
      <c r="B66">
        <v>45435</v>
      </c>
      <c r="C66" t="s">
        <v>617</v>
      </c>
      <c r="D66" t="s">
        <v>619</v>
      </c>
      <c r="E66" t="s">
        <v>620</v>
      </c>
      <c r="F66" t="s">
        <v>625</v>
      </c>
      <c r="G66" t="s">
        <v>633</v>
      </c>
      <c r="H66">
        <v>1</v>
      </c>
      <c r="I66">
        <v>312091</v>
      </c>
      <c r="J66">
        <v>312091</v>
      </c>
      <c r="K66">
        <v>171139.98207443839</v>
      </c>
      <c r="L66">
        <v>25571.043090074319</v>
      </c>
      <c r="M66">
        <v>286519.95690992568</v>
      </c>
      <c r="N66">
        <v>115379.97483548729</v>
      </c>
    </row>
    <row r="67" spans="1:14" x14ac:dyDescent="0.25">
      <c r="A67" t="s">
        <v>76</v>
      </c>
      <c r="B67">
        <v>44961</v>
      </c>
      <c r="C67" t="s">
        <v>617</v>
      </c>
      <c r="D67" t="s">
        <v>619</v>
      </c>
      <c r="E67" t="s">
        <v>624</v>
      </c>
      <c r="F67" t="s">
        <v>627</v>
      </c>
      <c r="G67" t="s">
        <v>631</v>
      </c>
      <c r="H67">
        <v>7</v>
      </c>
      <c r="I67">
        <v>453157</v>
      </c>
      <c r="J67">
        <v>3172099</v>
      </c>
      <c r="K67">
        <v>2210708.3740564492</v>
      </c>
      <c r="L67">
        <v>620602.56088248547</v>
      </c>
      <c r="M67">
        <v>2551496.439117515</v>
      </c>
      <c r="N67">
        <v>340788.06506106583</v>
      </c>
    </row>
    <row r="68" spans="1:14" x14ac:dyDescent="0.25">
      <c r="A68" t="s">
        <v>77</v>
      </c>
      <c r="B68">
        <v>45132</v>
      </c>
      <c r="C68" t="s">
        <v>614</v>
      </c>
      <c r="D68" t="s">
        <v>618</v>
      </c>
      <c r="E68" t="s">
        <v>620</v>
      </c>
      <c r="F68" t="s">
        <v>628</v>
      </c>
      <c r="G68" t="s">
        <v>632</v>
      </c>
      <c r="H68">
        <v>2</v>
      </c>
      <c r="I68">
        <v>111169</v>
      </c>
      <c r="J68">
        <v>222338</v>
      </c>
      <c r="K68">
        <v>175946.125132735</v>
      </c>
      <c r="L68">
        <v>8043.8287137562993</v>
      </c>
      <c r="M68">
        <v>214294.17128624371</v>
      </c>
      <c r="N68">
        <v>38348.046153508709</v>
      </c>
    </row>
    <row r="69" spans="1:14" x14ac:dyDescent="0.25">
      <c r="A69" t="s">
        <v>78</v>
      </c>
      <c r="B69">
        <v>45007</v>
      </c>
      <c r="C69" t="s">
        <v>615</v>
      </c>
      <c r="D69" t="s">
        <v>618</v>
      </c>
      <c r="E69" t="s">
        <v>623</v>
      </c>
      <c r="F69" t="s">
        <v>625</v>
      </c>
      <c r="G69" t="s">
        <v>632</v>
      </c>
      <c r="H69">
        <v>9</v>
      </c>
      <c r="I69">
        <v>204542</v>
      </c>
      <c r="J69">
        <v>1840878</v>
      </c>
      <c r="K69">
        <v>1230915.3042404519</v>
      </c>
      <c r="L69">
        <v>294230.46550628578</v>
      </c>
      <c r="M69">
        <v>1546647.5344937141</v>
      </c>
      <c r="N69">
        <v>315732.23025326221</v>
      </c>
    </row>
    <row r="70" spans="1:14" x14ac:dyDescent="0.25">
      <c r="A70" t="s">
        <v>79</v>
      </c>
      <c r="B70">
        <v>45488</v>
      </c>
      <c r="C70" t="s">
        <v>613</v>
      </c>
      <c r="D70" t="s">
        <v>619</v>
      </c>
      <c r="E70" t="s">
        <v>623</v>
      </c>
      <c r="F70" t="s">
        <v>625</v>
      </c>
      <c r="G70" t="s">
        <v>631</v>
      </c>
      <c r="H70">
        <v>1</v>
      </c>
      <c r="I70">
        <v>179744</v>
      </c>
      <c r="J70">
        <v>179744</v>
      </c>
      <c r="K70">
        <v>128413.7838763422</v>
      </c>
      <c r="L70">
        <v>12013.82704326629</v>
      </c>
      <c r="M70">
        <v>167730.1729567337</v>
      </c>
      <c r="N70">
        <v>39316.389080391498</v>
      </c>
    </row>
    <row r="71" spans="1:14" x14ac:dyDescent="0.25">
      <c r="A71" t="s">
        <v>80</v>
      </c>
      <c r="B71">
        <v>45314</v>
      </c>
      <c r="C71" t="s">
        <v>615</v>
      </c>
      <c r="D71" t="s">
        <v>619</v>
      </c>
      <c r="E71" t="s">
        <v>621</v>
      </c>
      <c r="F71" t="s">
        <v>628</v>
      </c>
      <c r="G71" t="s">
        <v>631</v>
      </c>
      <c r="H71">
        <v>6</v>
      </c>
      <c r="I71">
        <v>422828</v>
      </c>
      <c r="J71">
        <v>2536968</v>
      </c>
      <c r="K71">
        <v>1320580.982323651</v>
      </c>
      <c r="L71">
        <v>370838.93587661092</v>
      </c>
      <c r="M71">
        <v>2166129.0641233888</v>
      </c>
      <c r="N71">
        <v>845548.08179973788</v>
      </c>
    </row>
    <row r="72" spans="1:14" x14ac:dyDescent="0.25">
      <c r="A72" t="s">
        <v>81</v>
      </c>
      <c r="B72">
        <v>44928</v>
      </c>
      <c r="C72" t="s">
        <v>615</v>
      </c>
      <c r="D72" t="s">
        <v>619</v>
      </c>
      <c r="E72" t="s">
        <v>620</v>
      </c>
      <c r="F72" t="s">
        <v>625</v>
      </c>
      <c r="G72" t="s">
        <v>631</v>
      </c>
      <c r="H72">
        <v>9</v>
      </c>
      <c r="I72">
        <v>109821</v>
      </c>
      <c r="J72">
        <v>988389</v>
      </c>
      <c r="K72">
        <v>618039.73929856904</v>
      </c>
      <c r="L72">
        <v>83026.851304957177</v>
      </c>
      <c r="M72">
        <v>905362.14869504282</v>
      </c>
      <c r="N72">
        <v>287322.40939647378</v>
      </c>
    </row>
    <row r="73" spans="1:14" x14ac:dyDescent="0.25">
      <c r="A73" t="s">
        <v>82</v>
      </c>
      <c r="B73">
        <v>45316</v>
      </c>
      <c r="C73" t="s">
        <v>615</v>
      </c>
      <c r="D73" t="s">
        <v>619</v>
      </c>
      <c r="E73" t="s">
        <v>624</v>
      </c>
      <c r="F73" t="s">
        <v>625</v>
      </c>
      <c r="G73" t="s">
        <v>631</v>
      </c>
      <c r="H73">
        <v>1</v>
      </c>
      <c r="I73">
        <v>267741</v>
      </c>
      <c r="J73">
        <v>267741</v>
      </c>
      <c r="K73">
        <v>143216.68115292821</v>
      </c>
      <c r="L73">
        <v>30970.124267317111</v>
      </c>
      <c r="M73">
        <v>236770.87573268291</v>
      </c>
      <c r="N73">
        <v>93554.194579754694</v>
      </c>
    </row>
    <row r="74" spans="1:14" x14ac:dyDescent="0.25">
      <c r="A74" t="s">
        <v>83</v>
      </c>
      <c r="B74">
        <v>45492</v>
      </c>
      <c r="C74" t="s">
        <v>616</v>
      </c>
      <c r="D74" t="s">
        <v>618</v>
      </c>
      <c r="E74" t="s">
        <v>624</v>
      </c>
      <c r="F74" t="s">
        <v>625</v>
      </c>
      <c r="G74" t="s">
        <v>633</v>
      </c>
      <c r="H74">
        <v>4</v>
      </c>
      <c r="I74">
        <v>299265</v>
      </c>
      <c r="J74">
        <v>1197060</v>
      </c>
      <c r="K74">
        <v>818596.01486620051</v>
      </c>
      <c r="L74">
        <v>199337.24987555569</v>
      </c>
      <c r="M74">
        <v>997722.75012444425</v>
      </c>
      <c r="N74">
        <v>179126.73525824375</v>
      </c>
    </row>
    <row r="75" spans="1:14" x14ac:dyDescent="0.25">
      <c r="A75" t="s">
        <v>84</v>
      </c>
      <c r="B75">
        <v>45032</v>
      </c>
      <c r="C75" t="s">
        <v>617</v>
      </c>
      <c r="D75" t="s">
        <v>619</v>
      </c>
      <c r="E75" t="s">
        <v>622</v>
      </c>
      <c r="F75" t="s">
        <v>626</v>
      </c>
      <c r="G75" t="s">
        <v>631</v>
      </c>
      <c r="H75">
        <v>4</v>
      </c>
      <c r="I75">
        <v>487651</v>
      </c>
      <c r="J75">
        <v>1950604</v>
      </c>
      <c r="K75">
        <v>1524484.115522349</v>
      </c>
      <c r="L75">
        <v>313721.71354396478</v>
      </c>
      <c r="M75">
        <v>1636882.286456035</v>
      </c>
      <c r="N75">
        <v>112398.17093368596</v>
      </c>
    </row>
    <row r="76" spans="1:14" x14ac:dyDescent="0.25">
      <c r="A76" t="s">
        <v>85</v>
      </c>
      <c r="B76">
        <v>45403</v>
      </c>
      <c r="C76" t="s">
        <v>615</v>
      </c>
      <c r="D76" t="s">
        <v>618</v>
      </c>
      <c r="E76" t="s">
        <v>624</v>
      </c>
      <c r="F76" t="s">
        <v>630</v>
      </c>
      <c r="G76" t="s">
        <v>633</v>
      </c>
      <c r="H76">
        <v>9</v>
      </c>
      <c r="I76">
        <v>447745</v>
      </c>
      <c r="J76">
        <v>4029705</v>
      </c>
      <c r="K76">
        <v>2814883.2112288871</v>
      </c>
      <c r="L76">
        <v>698285.96696516953</v>
      </c>
      <c r="M76">
        <v>3331419.0330348299</v>
      </c>
      <c r="N76">
        <v>516535.8218059428</v>
      </c>
    </row>
    <row r="77" spans="1:14" x14ac:dyDescent="0.25">
      <c r="A77" t="s">
        <v>86</v>
      </c>
      <c r="B77">
        <v>45629</v>
      </c>
      <c r="C77" t="s">
        <v>617</v>
      </c>
      <c r="D77" t="s">
        <v>618</v>
      </c>
      <c r="E77" t="s">
        <v>621</v>
      </c>
      <c r="F77" t="s">
        <v>628</v>
      </c>
      <c r="G77" t="s">
        <v>632</v>
      </c>
      <c r="H77">
        <v>5</v>
      </c>
      <c r="I77">
        <v>264127</v>
      </c>
      <c r="J77">
        <v>1320635</v>
      </c>
      <c r="K77">
        <v>690746.13811321475</v>
      </c>
      <c r="L77">
        <v>15746.545291308759</v>
      </c>
      <c r="M77">
        <v>1304888.454708691</v>
      </c>
      <c r="N77">
        <v>614142.31659547624</v>
      </c>
    </row>
    <row r="78" spans="1:14" x14ac:dyDescent="0.25">
      <c r="A78" t="s">
        <v>87</v>
      </c>
      <c r="B78">
        <v>45328</v>
      </c>
      <c r="C78" t="s">
        <v>614</v>
      </c>
      <c r="D78" t="s">
        <v>618</v>
      </c>
      <c r="E78" t="s">
        <v>621</v>
      </c>
      <c r="F78" t="s">
        <v>625</v>
      </c>
      <c r="G78" t="s">
        <v>631</v>
      </c>
      <c r="H78">
        <v>5</v>
      </c>
      <c r="I78">
        <v>324336</v>
      </c>
      <c r="J78">
        <v>1621680</v>
      </c>
      <c r="K78">
        <v>983386.52739006269</v>
      </c>
      <c r="L78">
        <v>224456.90817069871</v>
      </c>
      <c r="M78">
        <v>1397223.0918293011</v>
      </c>
      <c r="N78">
        <v>413836.5644392384</v>
      </c>
    </row>
    <row r="79" spans="1:14" x14ac:dyDescent="0.25">
      <c r="A79" t="s">
        <v>88</v>
      </c>
      <c r="B79">
        <v>45656</v>
      </c>
      <c r="C79" t="s">
        <v>613</v>
      </c>
      <c r="D79" t="s">
        <v>619</v>
      </c>
      <c r="E79" t="s">
        <v>624</v>
      </c>
      <c r="F79" t="s">
        <v>626</v>
      </c>
      <c r="G79" t="s">
        <v>633</v>
      </c>
      <c r="H79">
        <v>6</v>
      </c>
      <c r="I79">
        <v>386246</v>
      </c>
      <c r="J79">
        <v>2317476</v>
      </c>
      <c r="K79">
        <v>1541582.7497799201</v>
      </c>
      <c r="L79">
        <v>64883.477171128827</v>
      </c>
      <c r="M79">
        <v>2252592.5228288709</v>
      </c>
      <c r="N79">
        <v>711009.77304895082</v>
      </c>
    </row>
    <row r="80" spans="1:14" x14ac:dyDescent="0.25">
      <c r="A80" t="s">
        <v>89</v>
      </c>
      <c r="B80">
        <v>45482</v>
      </c>
      <c r="C80" t="s">
        <v>614</v>
      </c>
      <c r="D80" t="s">
        <v>619</v>
      </c>
      <c r="E80" t="s">
        <v>624</v>
      </c>
      <c r="F80" t="s">
        <v>628</v>
      </c>
      <c r="G80" t="s">
        <v>631</v>
      </c>
      <c r="H80">
        <v>1</v>
      </c>
      <c r="I80">
        <v>253834</v>
      </c>
      <c r="J80">
        <v>253834</v>
      </c>
      <c r="K80">
        <v>157621.35127109839</v>
      </c>
      <c r="L80">
        <v>21109.778078877069</v>
      </c>
      <c r="M80">
        <v>232724.22192112289</v>
      </c>
      <c r="N80">
        <v>75102.870650024503</v>
      </c>
    </row>
    <row r="81" spans="1:14" x14ac:dyDescent="0.25">
      <c r="A81" t="s">
        <v>90</v>
      </c>
      <c r="B81">
        <v>45088</v>
      </c>
      <c r="C81" t="s">
        <v>614</v>
      </c>
      <c r="D81" t="s">
        <v>619</v>
      </c>
      <c r="E81" t="s">
        <v>622</v>
      </c>
      <c r="F81" t="s">
        <v>629</v>
      </c>
      <c r="G81" t="s">
        <v>632</v>
      </c>
      <c r="H81">
        <v>1</v>
      </c>
      <c r="I81">
        <v>284538</v>
      </c>
      <c r="J81">
        <v>284538</v>
      </c>
      <c r="K81">
        <v>213430.0198357754</v>
      </c>
      <c r="L81">
        <v>31218.850088566189</v>
      </c>
      <c r="M81">
        <v>253319.14991143381</v>
      </c>
      <c r="N81">
        <v>39889.13007565841</v>
      </c>
    </row>
    <row r="82" spans="1:14" x14ac:dyDescent="0.25">
      <c r="A82" t="s">
        <v>91</v>
      </c>
      <c r="B82">
        <v>45128</v>
      </c>
      <c r="C82" t="s">
        <v>616</v>
      </c>
      <c r="D82" t="s">
        <v>619</v>
      </c>
      <c r="E82" t="s">
        <v>624</v>
      </c>
      <c r="F82" t="s">
        <v>629</v>
      </c>
      <c r="G82" t="s">
        <v>632</v>
      </c>
      <c r="H82">
        <v>9</v>
      </c>
      <c r="I82">
        <v>427038</v>
      </c>
      <c r="J82">
        <v>3843342</v>
      </c>
      <c r="K82">
        <v>2860988.7865752298</v>
      </c>
      <c r="L82">
        <v>309573.11535717081</v>
      </c>
      <c r="M82">
        <v>3533768.8846428292</v>
      </c>
      <c r="N82">
        <v>672780.09806759935</v>
      </c>
    </row>
    <row r="83" spans="1:14" x14ac:dyDescent="0.25">
      <c r="A83" t="s">
        <v>92</v>
      </c>
      <c r="B83">
        <v>45196</v>
      </c>
      <c r="C83" t="s">
        <v>613</v>
      </c>
      <c r="D83" t="s">
        <v>618</v>
      </c>
      <c r="E83" t="s">
        <v>622</v>
      </c>
      <c r="F83" t="s">
        <v>625</v>
      </c>
      <c r="G83" t="s">
        <v>632</v>
      </c>
      <c r="H83">
        <v>3</v>
      </c>
      <c r="I83">
        <v>136795</v>
      </c>
      <c r="J83">
        <v>410385</v>
      </c>
      <c r="K83">
        <v>280518.38195551821</v>
      </c>
      <c r="L83">
        <v>42648.167514883447</v>
      </c>
      <c r="M83">
        <v>367736.83248511661</v>
      </c>
      <c r="N83">
        <v>87218.450529598398</v>
      </c>
    </row>
    <row r="84" spans="1:14" x14ac:dyDescent="0.25">
      <c r="A84" t="s">
        <v>93</v>
      </c>
      <c r="B84">
        <v>45197</v>
      </c>
      <c r="C84" t="s">
        <v>614</v>
      </c>
      <c r="D84" t="s">
        <v>619</v>
      </c>
      <c r="E84" t="s">
        <v>622</v>
      </c>
      <c r="F84" t="s">
        <v>626</v>
      </c>
      <c r="G84" t="s">
        <v>631</v>
      </c>
      <c r="H84">
        <v>4</v>
      </c>
      <c r="I84">
        <v>215159</v>
      </c>
      <c r="J84">
        <v>860636</v>
      </c>
      <c r="K84">
        <v>526741.40562016936</v>
      </c>
      <c r="L84">
        <v>171529.2832598417</v>
      </c>
      <c r="M84">
        <v>689106.71674015827</v>
      </c>
      <c r="N84">
        <v>162365.31111998891</v>
      </c>
    </row>
    <row r="85" spans="1:14" x14ac:dyDescent="0.25">
      <c r="A85" t="s">
        <v>94</v>
      </c>
      <c r="B85">
        <v>45382</v>
      </c>
      <c r="C85" t="s">
        <v>614</v>
      </c>
      <c r="D85" t="s">
        <v>619</v>
      </c>
      <c r="E85" t="s">
        <v>624</v>
      </c>
      <c r="F85" t="s">
        <v>626</v>
      </c>
      <c r="G85" t="s">
        <v>631</v>
      </c>
      <c r="H85">
        <v>1</v>
      </c>
      <c r="I85">
        <v>378821</v>
      </c>
      <c r="J85">
        <v>378821</v>
      </c>
      <c r="K85">
        <v>218428.53413360979</v>
      </c>
      <c r="L85">
        <v>10244.63159960347</v>
      </c>
      <c r="M85">
        <v>368576.36840039649</v>
      </c>
      <c r="N85">
        <v>150147.8342667867</v>
      </c>
    </row>
    <row r="86" spans="1:14" x14ac:dyDescent="0.25">
      <c r="A86" t="s">
        <v>95</v>
      </c>
      <c r="B86">
        <v>45388</v>
      </c>
      <c r="C86" t="s">
        <v>613</v>
      </c>
      <c r="D86" t="s">
        <v>618</v>
      </c>
      <c r="E86" t="s">
        <v>623</v>
      </c>
      <c r="F86" t="s">
        <v>628</v>
      </c>
      <c r="G86" t="s">
        <v>633</v>
      </c>
      <c r="H86">
        <v>9</v>
      </c>
      <c r="I86">
        <v>185699</v>
      </c>
      <c r="J86">
        <v>1671291</v>
      </c>
      <c r="K86">
        <v>888729.53854822181</v>
      </c>
      <c r="L86">
        <v>225776.72189327201</v>
      </c>
      <c r="M86">
        <v>1445514.2781067281</v>
      </c>
      <c r="N86">
        <v>556784.73955850629</v>
      </c>
    </row>
    <row r="87" spans="1:14" x14ac:dyDescent="0.25">
      <c r="A87" t="s">
        <v>96</v>
      </c>
      <c r="B87">
        <v>45653</v>
      </c>
      <c r="C87" t="s">
        <v>613</v>
      </c>
      <c r="D87" t="s">
        <v>619</v>
      </c>
      <c r="E87" t="s">
        <v>623</v>
      </c>
      <c r="F87" t="s">
        <v>628</v>
      </c>
      <c r="G87" t="s">
        <v>632</v>
      </c>
      <c r="H87">
        <v>8</v>
      </c>
      <c r="I87">
        <v>499757</v>
      </c>
      <c r="J87">
        <v>3998056</v>
      </c>
      <c r="K87">
        <v>2424698.2438548552</v>
      </c>
      <c r="L87">
        <v>316646.80793276138</v>
      </c>
      <c r="M87">
        <v>3681409.192067239</v>
      </c>
      <c r="N87">
        <v>1256710.9482123838</v>
      </c>
    </row>
    <row r="88" spans="1:14" x14ac:dyDescent="0.25">
      <c r="A88" t="s">
        <v>97</v>
      </c>
      <c r="B88">
        <v>45178</v>
      </c>
      <c r="C88" t="s">
        <v>614</v>
      </c>
      <c r="D88" t="s">
        <v>618</v>
      </c>
      <c r="E88" t="s">
        <v>622</v>
      </c>
      <c r="F88" t="s">
        <v>626</v>
      </c>
      <c r="G88" t="s">
        <v>631</v>
      </c>
      <c r="H88">
        <v>2</v>
      </c>
      <c r="I88">
        <v>293877</v>
      </c>
      <c r="J88">
        <v>587754</v>
      </c>
      <c r="K88">
        <v>366730.13990367192</v>
      </c>
      <c r="L88">
        <v>15635.408269395621</v>
      </c>
      <c r="M88">
        <v>572118.59173060441</v>
      </c>
      <c r="N88">
        <v>205388.45182693249</v>
      </c>
    </row>
    <row r="89" spans="1:14" x14ac:dyDescent="0.25">
      <c r="A89" t="s">
        <v>98</v>
      </c>
      <c r="B89">
        <v>45628</v>
      </c>
      <c r="C89" t="s">
        <v>613</v>
      </c>
      <c r="D89" t="s">
        <v>618</v>
      </c>
      <c r="E89" t="s">
        <v>624</v>
      </c>
      <c r="F89" t="s">
        <v>628</v>
      </c>
      <c r="G89" t="s">
        <v>632</v>
      </c>
      <c r="H89">
        <v>8</v>
      </c>
      <c r="I89">
        <v>249298</v>
      </c>
      <c r="J89">
        <v>1994384</v>
      </c>
      <c r="K89">
        <v>1401547.128598229</v>
      </c>
      <c r="L89">
        <v>63316.412217101803</v>
      </c>
      <c r="M89">
        <v>1931067.587782898</v>
      </c>
      <c r="N89">
        <v>529520.45918466896</v>
      </c>
    </row>
    <row r="90" spans="1:14" x14ac:dyDescent="0.25">
      <c r="A90" t="s">
        <v>99</v>
      </c>
      <c r="B90">
        <v>45222</v>
      </c>
      <c r="C90" t="s">
        <v>614</v>
      </c>
      <c r="D90" t="s">
        <v>618</v>
      </c>
      <c r="E90" t="s">
        <v>623</v>
      </c>
      <c r="F90" t="s">
        <v>626</v>
      </c>
      <c r="G90" t="s">
        <v>632</v>
      </c>
      <c r="H90">
        <v>7</v>
      </c>
      <c r="I90">
        <v>446471</v>
      </c>
      <c r="J90">
        <v>3125297</v>
      </c>
      <c r="K90">
        <v>2179731.9773193202</v>
      </c>
      <c r="L90">
        <v>593352.07822602161</v>
      </c>
      <c r="M90">
        <v>2531944.921773979</v>
      </c>
      <c r="N90">
        <v>352212.94445465878</v>
      </c>
    </row>
    <row r="91" spans="1:14" x14ac:dyDescent="0.25">
      <c r="A91" t="s">
        <v>100</v>
      </c>
      <c r="B91">
        <v>45651</v>
      </c>
      <c r="C91" t="s">
        <v>614</v>
      </c>
      <c r="D91" t="s">
        <v>618</v>
      </c>
      <c r="E91" t="s">
        <v>624</v>
      </c>
      <c r="F91" t="s">
        <v>630</v>
      </c>
      <c r="G91" t="s">
        <v>633</v>
      </c>
      <c r="H91">
        <v>6</v>
      </c>
      <c r="I91">
        <v>238505</v>
      </c>
      <c r="J91">
        <v>1431030</v>
      </c>
      <c r="K91">
        <v>745613.05532124836</v>
      </c>
      <c r="L91">
        <v>251747.2259678866</v>
      </c>
      <c r="M91">
        <v>1179282.7740321129</v>
      </c>
      <c r="N91">
        <v>433669.71871086454</v>
      </c>
    </row>
    <row r="92" spans="1:14" x14ac:dyDescent="0.25">
      <c r="A92" t="s">
        <v>101</v>
      </c>
      <c r="B92">
        <v>45646</v>
      </c>
      <c r="C92" t="s">
        <v>616</v>
      </c>
      <c r="D92" t="s">
        <v>618</v>
      </c>
      <c r="E92" t="s">
        <v>624</v>
      </c>
      <c r="F92" t="s">
        <v>626</v>
      </c>
      <c r="G92" t="s">
        <v>633</v>
      </c>
      <c r="H92">
        <v>1</v>
      </c>
      <c r="I92">
        <v>186285</v>
      </c>
      <c r="J92">
        <v>186285</v>
      </c>
      <c r="K92">
        <v>115231.764472528</v>
      </c>
      <c r="L92">
        <v>33793.662319182469</v>
      </c>
      <c r="M92">
        <v>152491.33768081749</v>
      </c>
      <c r="N92">
        <v>37259.573208289497</v>
      </c>
    </row>
    <row r="93" spans="1:14" x14ac:dyDescent="0.25">
      <c r="A93" t="s">
        <v>102</v>
      </c>
      <c r="B93">
        <v>45264</v>
      </c>
      <c r="C93" t="s">
        <v>615</v>
      </c>
      <c r="D93" t="s">
        <v>618</v>
      </c>
      <c r="E93" t="s">
        <v>624</v>
      </c>
      <c r="F93" t="s">
        <v>629</v>
      </c>
      <c r="G93" t="s">
        <v>633</v>
      </c>
      <c r="H93">
        <v>7</v>
      </c>
      <c r="I93">
        <v>152412</v>
      </c>
      <c r="J93">
        <v>1066884</v>
      </c>
      <c r="K93">
        <v>591623.08949169831</v>
      </c>
      <c r="L93">
        <v>211570.09080116509</v>
      </c>
      <c r="M93">
        <v>855313.90919883491</v>
      </c>
      <c r="N93">
        <v>263690.8197071366</v>
      </c>
    </row>
    <row r="94" spans="1:14" x14ac:dyDescent="0.25">
      <c r="A94" t="s">
        <v>103</v>
      </c>
      <c r="B94">
        <v>44979</v>
      </c>
      <c r="C94" t="s">
        <v>614</v>
      </c>
      <c r="D94" t="s">
        <v>618</v>
      </c>
      <c r="E94" t="s">
        <v>620</v>
      </c>
      <c r="F94" t="s">
        <v>628</v>
      </c>
      <c r="G94" t="s">
        <v>633</v>
      </c>
      <c r="H94">
        <v>7</v>
      </c>
      <c r="I94">
        <v>69404</v>
      </c>
      <c r="J94">
        <v>485828</v>
      </c>
      <c r="K94">
        <v>265769.20089959592</v>
      </c>
      <c r="L94">
        <v>20241.089859411659</v>
      </c>
      <c r="M94">
        <v>465586.91014058841</v>
      </c>
      <c r="N94">
        <v>199817.7092409925</v>
      </c>
    </row>
    <row r="95" spans="1:14" x14ac:dyDescent="0.25">
      <c r="A95" t="s">
        <v>104</v>
      </c>
      <c r="B95">
        <v>45143</v>
      </c>
      <c r="C95" t="s">
        <v>617</v>
      </c>
      <c r="D95" t="s">
        <v>618</v>
      </c>
      <c r="E95" t="s">
        <v>624</v>
      </c>
      <c r="F95" t="s">
        <v>626</v>
      </c>
      <c r="G95" t="s">
        <v>632</v>
      </c>
      <c r="H95">
        <v>9</v>
      </c>
      <c r="I95">
        <v>166545</v>
      </c>
      <c r="J95">
        <v>1498905</v>
      </c>
      <c r="K95">
        <v>1121466.698625572</v>
      </c>
      <c r="L95">
        <v>106553.9599943358</v>
      </c>
      <c r="M95">
        <v>1392351.0400056641</v>
      </c>
      <c r="N95">
        <v>270884.34138009208</v>
      </c>
    </row>
    <row r="96" spans="1:14" x14ac:dyDescent="0.25">
      <c r="A96" t="s">
        <v>105</v>
      </c>
      <c r="B96">
        <v>45114</v>
      </c>
      <c r="C96" t="s">
        <v>615</v>
      </c>
      <c r="D96" t="s">
        <v>619</v>
      </c>
      <c r="E96" t="s">
        <v>620</v>
      </c>
      <c r="F96" t="s">
        <v>626</v>
      </c>
      <c r="G96" t="s">
        <v>633</v>
      </c>
      <c r="H96">
        <v>1</v>
      </c>
      <c r="I96">
        <v>468596</v>
      </c>
      <c r="J96">
        <v>468596</v>
      </c>
      <c r="K96">
        <v>240190.39086771151</v>
      </c>
      <c r="L96">
        <v>62718.672109334562</v>
      </c>
      <c r="M96">
        <v>405877.32789066539</v>
      </c>
      <c r="N96">
        <v>165686.93702295388</v>
      </c>
    </row>
    <row r="97" spans="1:14" x14ac:dyDescent="0.25">
      <c r="A97" t="s">
        <v>106</v>
      </c>
      <c r="B97">
        <v>45306</v>
      </c>
      <c r="C97" t="s">
        <v>615</v>
      </c>
      <c r="D97" t="s">
        <v>619</v>
      </c>
      <c r="E97" t="s">
        <v>622</v>
      </c>
      <c r="F97" t="s">
        <v>628</v>
      </c>
      <c r="G97" t="s">
        <v>633</v>
      </c>
      <c r="H97">
        <v>2</v>
      </c>
      <c r="I97">
        <v>272128</v>
      </c>
      <c r="J97">
        <v>544256</v>
      </c>
      <c r="K97">
        <v>340570.83859209548</v>
      </c>
      <c r="L97">
        <v>52662.487026879287</v>
      </c>
      <c r="M97">
        <v>491593.51297312073</v>
      </c>
      <c r="N97">
        <v>151022.67438102525</v>
      </c>
    </row>
    <row r="98" spans="1:14" x14ac:dyDescent="0.25">
      <c r="A98" t="s">
        <v>107</v>
      </c>
      <c r="B98">
        <v>45419</v>
      </c>
      <c r="C98" t="s">
        <v>615</v>
      </c>
      <c r="D98" t="s">
        <v>619</v>
      </c>
      <c r="E98" t="s">
        <v>623</v>
      </c>
      <c r="F98" t="s">
        <v>630</v>
      </c>
      <c r="G98" t="s">
        <v>633</v>
      </c>
      <c r="H98">
        <v>9</v>
      </c>
      <c r="I98">
        <v>200245</v>
      </c>
      <c r="J98">
        <v>1802205</v>
      </c>
      <c r="K98">
        <v>992043.74083220935</v>
      </c>
      <c r="L98">
        <v>150804.7418004199</v>
      </c>
      <c r="M98">
        <v>1651400.25819958</v>
      </c>
      <c r="N98">
        <v>659356.51736737066</v>
      </c>
    </row>
    <row r="99" spans="1:14" x14ac:dyDescent="0.25">
      <c r="A99" t="s">
        <v>108</v>
      </c>
      <c r="B99">
        <v>44967</v>
      </c>
      <c r="C99" t="s">
        <v>616</v>
      </c>
      <c r="D99" t="s">
        <v>619</v>
      </c>
      <c r="E99" t="s">
        <v>623</v>
      </c>
      <c r="F99" t="s">
        <v>630</v>
      </c>
      <c r="G99" t="s">
        <v>633</v>
      </c>
      <c r="H99">
        <v>9</v>
      </c>
      <c r="I99">
        <v>234099</v>
      </c>
      <c r="J99">
        <v>2106891</v>
      </c>
      <c r="K99">
        <v>1609241.375232311</v>
      </c>
      <c r="L99">
        <v>150773.86018478341</v>
      </c>
      <c r="M99">
        <v>1956117.1398152169</v>
      </c>
      <c r="N99">
        <v>346875.76458290592</v>
      </c>
    </row>
    <row r="100" spans="1:14" x14ac:dyDescent="0.25">
      <c r="A100" t="s">
        <v>109</v>
      </c>
      <c r="B100">
        <v>45083</v>
      </c>
      <c r="C100" t="s">
        <v>614</v>
      </c>
      <c r="D100" t="s">
        <v>618</v>
      </c>
      <c r="E100" t="s">
        <v>623</v>
      </c>
      <c r="F100" t="s">
        <v>628</v>
      </c>
      <c r="G100" t="s">
        <v>632</v>
      </c>
      <c r="H100">
        <v>6</v>
      </c>
      <c r="I100">
        <v>336133</v>
      </c>
      <c r="J100">
        <v>2016798</v>
      </c>
      <c r="K100">
        <v>1345430.4579276191</v>
      </c>
      <c r="L100">
        <v>239507.11818845809</v>
      </c>
      <c r="M100">
        <v>1777290.881811542</v>
      </c>
      <c r="N100">
        <v>431860.42388392286</v>
      </c>
    </row>
    <row r="101" spans="1:14" x14ac:dyDescent="0.25">
      <c r="A101" t="s">
        <v>110</v>
      </c>
      <c r="B101">
        <v>44941</v>
      </c>
      <c r="C101" t="s">
        <v>616</v>
      </c>
      <c r="D101" t="s">
        <v>619</v>
      </c>
      <c r="E101" t="s">
        <v>623</v>
      </c>
      <c r="F101" t="s">
        <v>627</v>
      </c>
      <c r="G101" t="s">
        <v>633</v>
      </c>
      <c r="H101">
        <v>6</v>
      </c>
      <c r="I101">
        <v>311657</v>
      </c>
      <c r="J101">
        <v>1869942</v>
      </c>
      <c r="K101">
        <v>1064771.5109843391</v>
      </c>
      <c r="L101">
        <v>215265.26542761849</v>
      </c>
      <c r="M101">
        <v>1654676.734572381</v>
      </c>
      <c r="N101">
        <v>589905.22358804196</v>
      </c>
    </row>
    <row r="102" spans="1:14" x14ac:dyDescent="0.25">
      <c r="A102" t="s">
        <v>111</v>
      </c>
      <c r="B102">
        <v>44991</v>
      </c>
      <c r="C102" t="s">
        <v>614</v>
      </c>
      <c r="D102" t="s">
        <v>618</v>
      </c>
      <c r="E102" t="s">
        <v>623</v>
      </c>
      <c r="F102" t="s">
        <v>628</v>
      </c>
      <c r="G102" t="s">
        <v>632</v>
      </c>
      <c r="H102">
        <v>4</v>
      </c>
      <c r="I102">
        <v>420250</v>
      </c>
      <c r="J102">
        <v>1681000</v>
      </c>
      <c r="K102">
        <v>1093874.080918004</v>
      </c>
      <c r="L102">
        <v>54282.12381239752</v>
      </c>
      <c r="M102">
        <v>1626717.876187603</v>
      </c>
      <c r="N102">
        <v>532843.79526959895</v>
      </c>
    </row>
    <row r="103" spans="1:14" x14ac:dyDescent="0.25">
      <c r="A103" t="s">
        <v>112</v>
      </c>
      <c r="B103">
        <v>45447</v>
      </c>
      <c r="C103" t="s">
        <v>616</v>
      </c>
      <c r="D103" t="s">
        <v>619</v>
      </c>
      <c r="E103" t="s">
        <v>623</v>
      </c>
      <c r="F103" t="s">
        <v>628</v>
      </c>
      <c r="G103" t="s">
        <v>631</v>
      </c>
      <c r="H103">
        <v>4</v>
      </c>
      <c r="I103">
        <v>336663</v>
      </c>
      <c r="J103">
        <v>1346652</v>
      </c>
      <c r="K103">
        <v>968843.27078007616</v>
      </c>
      <c r="L103">
        <v>127053.8791347762</v>
      </c>
      <c r="M103">
        <v>1219598.1208652239</v>
      </c>
      <c r="N103">
        <v>250754.85008514777</v>
      </c>
    </row>
    <row r="104" spans="1:14" x14ac:dyDescent="0.25">
      <c r="A104" t="s">
        <v>113</v>
      </c>
      <c r="B104">
        <v>45270</v>
      </c>
      <c r="C104" t="s">
        <v>616</v>
      </c>
      <c r="D104" t="s">
        <v>619</v>
      </c>
      <c r="E104" t="s">
        <v>623</v>
      </c>
      <c r="F104" t="s">
        <v>630</v>
      </c>
      <c r="G104" t="s">
        <v>632</v>
      </c>
      <c r="H104">
        <v>5</v>
      </c>
      <c r="I104">
        <v>306875</v>
      </c>
      <c r="J104">
        <v>1534375</v>
      </c>
      <c r="K104">
        <v>1208221.195980727</v>
      </c>
      <c r="L104">
        <v>169846.65132439771</v>
      </c>
      <c r="M104">
        <v>1364528.3486756021</v>
      </c>
      <c r="N104">
        <v>156307.15269487514</v>
      </c>
    </row>
    <row r="105" spans="1:14" x14ac:dyDescent="0.25">
      <c r="A105" t="s">
        <v>114</v>
      </c>
      <c r="B105">
        <v>45055</v>
      </c>
      <c r="C105" t="s">
        <v>617</v>
      </c>
      <c r="D105" t="s">
        <v>619</v>
      </c>
      <c r="E105" t="s">
        <v>622</v>
      </c>
      <c r="F105" t="s">
        <v>630</v>
      </c>
      <c r="G105" t="s">
        <v>632</v>
      </c>
      <c r="H105">
        <v>3</v>
      </c>
      <c r="I105">
        <v>334583</v>
      </c>
      <c r="J105">
        <v>1003749</v>
      </c>
      <c r="K105">
        <v>568256.23689460044</v>
      </c>
      <c r="L105">
        <v>114484.9888929389</v>
      </c>
      <c r="M105">
        <v>889264.01110706106</v>
      </c>
      <c r="N105">
        <v>321007.77421246062</v>
      </c>
    </row>
    <row r="106" spans="1:14" x14ac:dyDescent="0.25">
      <c r="A106" t="s">
        <v>115</v>
      </c>
      <c r="B106">
        <v>45574</v>
      </c>
      <c r="C106" t="s">
        <v>616</v>
      </c>
      <c r="D106" t="s">
        <v>618</v>
      </c>
      <c r="E106" t="s">
        <v>624</v>
      </c>
      <c r="F106" t="s">
        <v>628</v>
      </c>
      <c r="G106" t="s">
        <v>633</v>
      </c>
      <c r="H106">
        <v>1</v>
      </c>
      <c r="I106">
        <v>430714</v>
      </c>
      <c r="J106">
        <v>430714</v>
      </c>
      <c r="K106">
        <v>329864.26874027558</v>
      </c>
      <c r="L106">
        <v>18099.221897610139</v>
      </c>
      <c r="M106">
        <v>412614.77810238989</v>
      </c>
      <c r="N106">
        <v>82750.509362114302</v>
      </c>
    </row>
    <row r="107" spans="1:14" x14ac:dyDescent="0.25">
      <c r="A107" t="s">
        <v>116</v>
      </c>
      <c r="B107">
        <v>45398</v>
      </c>
      <c r="C107" t="s">
        <v>613</v>
      </c>
      <c r="D107" t="s">
        <v>619</v>
      </c>
      <c r="E107" t="s">
        <v>621</v>
      </c>
      <c r="F107" t="s">
        <v>628</v>
      </c>
      <c r="G107" t="s">
        <v>631</v>
      </c>
      <c r="H107">
        <v>1</v>
      </c>
      <c r="I107">
        <v>64995</v>
      </c>
      <c r="J107">
        <v>64995</v>
      </c>
      <c r="K107">
        <v>50715.02877009481</v>
      </c>
      <c r="L107">
        <v>9648.7858278874755</v>
      </c>
      <c r="M107">
        <v>55346.214172112523</v>
      </c>
      <c r="N107">
        <v>4631.1854020177125</v>
      </c>
    </row>
    <row r="108" spans="1:14" x14ac:dyDescent="0.25">
      <c r="A108" t="s">
        <v>117</v>
      </c>
      <c r="B108">
        <v>44989</v>
      </c>
      <c r="C108" t="s">
        <v>617</v>
      </c>
      <c r="D108" t="s">
        <v>618</v>
      </c>
      <c r="E108" t="s">
        <v>620</v>
      </c>
      <c r="F108" t="s">
        <v>628</v>
      </c>
      <c r="G108" t="s">
        <v>631</v>
      </c>
      <c r="H108">
        <v>7</v>
      </c>
      <c r="I108">
        <v>73559</v>
      </c>
      <c r="J108">
        <v>514913</v>
      </c>
      <c r="K108">
        <v>399019.55555399187</v>
      </c>
      <c r="L108">
        <v>2595.068302320286</v>
      </c>
      <c r="M108">
        <v>512317.93169767968</v>
      </c>
      <c r="N108">
        <v>113298.37614368781</v>
      </c>
    </row>
    <row r="109" spans="1:14" x14ac:dyDescent="0.25">
      <c r="A109" t="s">
        <v>118</v>
      </c>
      <c r="B109">
        <v>45065</v>
      </c>
      <c r="C109" t="s">
        <v>616</v>
      </c>
      <c r="D109" t="s">
        <v>618</v>
      </c>
      <c r="E109" t="s">
        <v>621</v>
      </c>
      <c r="F109" t="s">
        <v>630</v>
      </c>
      <c r="G109" t="s">
        <v>631</v>
      </c>
      <c r="H109">
        <v>1</v>
      </c>
      <c r="I109">
        <v>401193</v>
      </c>
      <c r="J109">
        <v>401193</v>
      </c>
      <c r="K109">
        <v>277073.63762175012</v>
      </c>
      <c r="L109">
        <v>28471.21132418561</v>
      </c>
      <c r="M109">
        <v>372721.7886758144</v>
      </c>
      <c r="N109">
        <v>95648.151054064278</v>
      </c>
    </row>
    <row r="110" spans="1:14" x14ac:dyDescent="0.25">
      <c r="A110" t="s">
        <v>119</v>
      </c>
      <c r="B110">
        <v>45425</v>
      </c>
      <c r="C110" t="s">
        <v>615</v>
      </c>
      <c r="D110" t="s">
        <v>619</v>
      </c>
      <c r="E110" t="s">
        <v>621</v>
      </c>
      <c r="F110" t="s">
        <v>628</v>
      </c>
      <c r="G110" t="s">
        <v>631</v>
      </c>
      <c r="H110">
        <v>1</v>
      </c>
      <c r="I110">
        <v>448237</v>
      </c>
      <c r="J110">
        <v>448237</v>
      </c>
      <c r="K110">
        <v>308811.17620455503</v>
      </c>
      <c r="L110">
        <v>69944.035388333359</v>
      </c>
      <c r="M110">
        <v>378292.96461166663</v>
      </c>
      <c r="N110">
        <v>69481.788407111599</v>
      </c>
    </row>
    <row r="111" spans="1:14" x14ac:dyDescent="0.25">
      <c r="A111" t="s">
        <v>120</v>
      </c>
      <c r="B111">
        <v>45519</v>
      </c>
      <c r="C111" t="s">
        <v>613</v>
      </c>
      <c r="D111" t="s">
        <v>619</v>
      </c>
      <c r="E111" t="s">
        <v>624</v>
      </c>
      <c r="F111" t="s">
        <v>628</v>
      </c>
      <c r="G111" t="s">
        <v>632</v>
      </c>
      <c r="H111">
        <v>3</v>
      </c>
      <c r="I111">
        <v>148000</v>
      </c>
      <c r="J111">
        <v>444000</v>
      </c>
      <c r="K111">
        <v>275707.6563400852</v>
      </c>
      <c r="L111">
        <v>50073.69138971973</v>
      </c>
      <c r="M111">
        <v>393926.30861028028</v>
      </c>
      <c r="N111">
        <v>118218.65227019507</v>
      </c>
    </row>
    <row r="112" spans="1:14" x14ac:dyDescent="0.25">
      <c r="A112" t="s">
        <v>121</v>
      </c>
      <c r="B112">
        <v>45318</v>
      </c>
      <c r="C112" t="s">
        <v>613</v>
      </c>
      <c r="D112" t="s">
        <v>619</v>
      </c>
      <c r="E112" t="s">
        <v>624</v>
      </c>
      <c r="F112" t="s">
        <v>625</v>
      </c>
      <c r="G112" t="s">
        <v>631</v>
      </c>
      <c r="H112">
        <v>4</v>
      </c>
      <c r="I112">
        <v>202191</v>
      </c>
      <c r="J112">
        <v>808764</v>
      </c>
      <c r="K112">
        <v>586935.6962650622</v>
      </c>
      <c r="L112">
        <v>42243.754713442671</v>
      </c>
      <c r="M112">
        <v>766520.24528655736</v>
      </c>
      <c r="N112">
        <v>179584.54902149516</v>
      </c>
    </row>
    <row r="113" spans="1:14" x14ac:dyDescent="0.25">
      <c r="A113" t="s">
        <v>122</v>
      </c>
      <c r="B113">
        <v>45601</v>
      </c>
      <c r="C113" t="s">
        <v>613</v>
      </c>
      <c r="D113" t="s">
        <v>618</v>
      </c>
      <c r="E113" t="s">
        <v>624</v>
      </c>
      <c r="F113" t="s">
        <v>627</v>
      </c>
      <c r="G113" t="s">
        <v>632</v>
      </c>
      <c r="H113">
        <v>4</v>
      </c>
      <c r="I113">
        <v>494755</v>
      </c>
      <c r="J113">
        <v>1979020</v>
      </c>
      <c r="K113">
        <v>1304942.446459058</v>
      </c>
      <c r="L113">
        <v>275065.22444845567</v>
      </c>
      <c r="M113">
        <v>1703954.775551544</v>
      </c>
      <c r="N113">
        <v>399012.32909248606</v>
      </c>
    </row>
    <row r="114" spans="1:14" x14ac:dyDescent="0.25">
      <c r="A114" t="s">
        <v>123</v>
      </c>
      <c r="B114">
        <v>45345</v>
      </c>
      <c r="C114" t="s">
        <v>617</v>
      </c>
      <c r="D114" t="s">
        <v>619</v>
      </c>
      <c r="E114" t="s">
        <v>623</v>
      </c>
      <c r="F114" t="s">
        <v>629</v>
      </c>
      <c r="G114" t="s">
        <v>632</v>
      </c>
      <c r="H114">
        <v>2</v>
      </c>
      <c r="I114">
        <v>351494</v>
      </c>
      <c r="J114">
        <v>702988</v>
      </c>
      <c r="K114">
        <v>494363.25044499087</v>
      </c>
      <c r="L114">
        <v>79773.805010077951</v>
      </c>
      <c r="M114">
        <v>623214.19498992199</v>
      </c>
      <c r="N114">
        <v>128850.94454493112</v>
      </c>
    </row>
    <row r="115" spans="1:14" x14ac:dyDescent="0.25">
      <c r="A115" t="s">
        <v>124</v>
      </c>
      <c r="B115">
        <v>45215</v>
      </c>
      <c r="C115" t="s">
        <v>616</v>
      </c>
      <c r="D115" t="s">
        <v>618</v>
      </c>
      <c r="E115" t="s">
        <v>622</v>
      </c>
      <c r="F115" t="s">
        <v>627</v>
      </c>
      <c r="G115" t="s">
        <v>632</v>
      </c>
      <c r="H115">
        <v>1</v>
      </c>
      <c r="I115">
        <v>489439</v>
      </c>
      <c r="J115">
        <v>489439</v>
      </c>
      <c r="K115">
        <v>307630.70240055519</v>
      </c>
      <c r="L115">
        <v>77942.535193744945</v>
      </c>
      <c r="M115">
        <v>411496.46480625513</v>
      </c>
      <c r="N115">
        <v>103865.76240569993</v>
      </c>
    </row>
    <row r="116" spans="1:14" x14ac:dyDescent="0.25">
      <c r="A116" t="s">
        <v>125</v>
      </c>
      <c r="B116">
        <v>45305</v>
      </c>
      <c r="C116" t="s">
        <v>616</v>
      </c>
      <c r="D116" t="s">
        <v>618</v>
      </c>
      <c r="E116" t="s">
        <v>623</v>
      </c>
      <c r="F116" t="s">
        <v>625</v>
      </c>
      <c r="G116" t="s">
        <v>631</v>
      </c>
      <c r="H116">
        <v>3</v>
      </c>
      <c r="I116">
        <v>75517</v>
      </c>
      <c r="J116">
        <v>226551</v>
      </c>
      <c r="K116">
        <v>162991.87662763119</v>
      </c>
      <c r="L116">
        <v>33304.138191298138</v>
      </c>
      <c r="M116">
        <v>193246.86180870191</v>
      </c>
      <c r="N116">
        <v>30254.985181070719</v>
      </c>
    </row>
    <row r="117" spans="1:14" x14ac:dyDescent="0.25">
      <c r="A117" t="s">
        <v>126</v>
      </c>
      <c r="B117">
        <v>45416</v>
      </c>
      <c r="C117" t="s">
        <v>615</v>
      </c>
      <c r="D117" t="s">
        <v>619</v>
      </c>
      <c r="E117" t="s">
        <v>622</v>
      </c>
      <c r="F117" t="s">
        <v>629</v>
      </c>
      <c r="G117" t="s">
        <v>633</v>
      </c>
      <c r="H117">
        <v>4</v>
      </c>
      <c r="I117">
        <v>465466</v>
      </c>
      <c r="J117">
        <v>1861864</v>
      </c>
      <c r="K117">
        <v>1391448.151295983</v>
      </c>
      <c r="L117">
        <v>227187.59523081439</v>
      </c>
      <c r="M117">
        <v>1634676.4047691859</v>
      </c>
      <c r="N117">
        <v>243228.25347320293</v>
      </c>
    </row>
    <row r="118" spans="1:14" x14ac:dyDescent="0.25">
      <c r="A118" t="s">
        <v>127</v>
      </c>
      <c r="B118">
        <v>45157</v>
      </c>
      <c r="C118" t="s">
        <v>615</v>
      </c>
      <c r="D118" t="s">
        <v>619</v>
      </c>
      <c r="E118" t="s">
        <v>622</v>
      </c>
      <c r="F118" t="s">
        <v>628</v>
      </c>
      <c r="G118" t="s">
        <v>633</v>
      </c>
      <c r="H118">
        <v>3</v>
      </c>
      <c r="I118">
        <v>265558</v>
      </c>
      <c r="J118">
        <v>796674</v>
      </c>
      <c r="K118">
        <v>433335.58748783759</v>
      </c>
      <c r="L118">
        <v>77783.692260113501</v>
      </c>
      <c r="M118">
        <v>718890.30773988646</v>
      </c>
      <c r="N118">
        <v>285554.72025204886</v>
      </c>
    </row>
    <row r="119" spans="1:14" x14ac:dyDescent="0.25">
      <c r="A119" t="s">
        <v>128</v>
      </c>
      <c r="B119">
        <v>44967</v>
      </c>
      <c r="C119" t="s">
        <v>613</v>
      </c>
      <c r="D119" t="s">
        <v>618</v>
      </c>
      <c r="E119" t="s">
        <v>621</v>
      </c>
      <c r="F119" t="s">
        <v>625</v>
      </c>
      <c r="G119" t="s">
        <v>631</v>
      </c>
      <c r="H119">
        <v>8</v>
      </c>
      <c r="I119">
        <v>401276</v>
      </c>
      <c r="J119">
        <v>3210208</v>
      </c>
      <c r="K119">
        <v>2407267.2909122328</v>
      </c>
      <c r="L119">
        <v>85508.465054977802</v>
      </c>
      <c r="M119">
        <v>3124699.5349450218</v>
      </c>
      <c r="N119">
        <v>717432.24403278902</v>
      </c>
    </row>
    <row r="120" spans="1:14" x14ac:dyDescent="0.25">
      <c r="A120" t="s">
        <v>129</v>
      </c>
      <c r="B120">
        <v>44954</v>
      </c>
      <c r="C120" t="s">
        <v>615</v>
      </c>
      <c r="D120" t="s">
        <v>618</v>
      </c>
      <c r="E120" t="s">
        <v>621</v>
      </c>
      <c r="F120" t="s">
        <v>628</v>
      </c>
      <c r="G120" t="s">
        <v>633</v>
      </c>
      <c r="H120">
        <v>1</v>
      </c>
      <c r="I120">
        <v>497415</v>
      </c>
      <c r="J120">
        <v>497415</v>
      </c>
      <c r="K120">
        <v>329332.97980814282</v>
      </c>
      <c r="L120">
        <v>25998.19261829164</v>
      </c>
      <c r="M120">
        <v>471416.80738170829</v>
      </c>
      <c r="N120">
        <v>142083.82757356548</v>
      </c>
    </row>
    <row r="121" spans="1:14" x14ac:dyDescent="0.25">
      <c r="A121" t="s">
        <v>130</v>
      </c>
      <c r="B121">
        <v>45061</v>
      </c>
      <c r="C121" t="s">
        <v>617</v>
      </c>
      <c r="D121" t="s">
        <v>618</v>
      </c>
      <c r="E121" t="s">
        <v>622</v>
      </c>
      <c r="F121" t="s">
        <v>630</v>
      </c>
      <c r="G121" t="s">
        <v>633</v>
      </c>
      <c r="H121">
        <v>2</v>
      </c>
      <c r="I121">
        <v>371690</v>
      </c>
      <c r="J121">
        <v>743380</v>
      </c>
      <c r="K121">
        <v>560062.32304984739</v>
      </c>
      <c r="L121">
        <v>62310.033235420568</v>
      </c>
      <c r="M121">
        <v>681069.96676457941</v>
      </c>
      <c r="N121">
        <v>121007.64371473202</v>
      </c>
    </row>
    <row r="122" spans="1:14" x14ac:dyDescent="0.25">
      <c r="A122" t="s">
        <v>131</v>
      </c>
      <c r="B122">
        <v>45127</v>
      </c>
      <c r="C122" t="s">
        <v>616</v>
      </c>
      <c r="D122" t="s">
        <v>619</v>
      </c>
      <c r="E122" t="s">
        <v>622</v>
      </c>
      <c r="F122" t="s">
        <v>626</v>
      </c>
      <c r="G122" t="s">
        <v>632</v>
      </c>
      <c r="H122">
        <v>7</v>
      </c>
      <c r="I122">
        <v>155686</v>
      </c>
      <c r="J122">
        <v>1089802</v>
      </c>
      <c r="K122">
        <v>685911.0386521552</v>
      </c>
      <c r="L122">
        <v>130623.5123156273</v>
      </c>
      <c r="M122">
        <v>959178.4876843727</v>
      </c>
      <c r="N122">
        <v>273267.4490322175</v>
      </c>
    </row>
    <row r="123" spans="1:14" x14ac:dyDescent="0.25">
      <c r="A123" t="s">
        <v>132</v>
      </c>
      <c r="B123">
        <v>44959</v>
      </c>
      <c r="C123" t="s">
        <v>613</v>
      </c>
      <c r="D123" t="s">
        <v>618</v>
      </c>
      <c r="E123" t="s">
        <v>623</v>
      </c>
      <c r="F123" t="s">
        <v>625</v>
      </c>
      <c r="G123" t="s">
        <v>632</v>
      </c>
      <c r="H123">
        <v>4</v>
      </c>
      <c r="I123">
        <v>138151</v>
      </c>
      <c r="J123">
        <v>552604</v>
      </c>
      <c r="K123">
        <v>339139.786515382</v>
      </c>
      <c r="L123">
        <v>56775.403124679673</v>
      </c>
      <c r="M123">
        <v>495828.59687532031</v>
      </c>
      <c r="N123">
        <v>156688.8103599383</v>
      </c>
    </row>
    <row r="124" spans="1:14" x14ac:dyDescent="0.25">
      <c r="A124" t="s">
        <v>133</v>
      </c>
      <c r="B124">
        <v>44974</v>
      </c>
      <c r="C124" t="s">
        <v>615</v>
      </c>
      <c r="D124" t="s">
        <v>619</v>
      </c>
      <c r="E124" t="s">
        <v>623</v>
      </c>
      <c r="F124" t="s">
        <v>630</v>
      </c>
      <c r="G124" t="s">
        <v>631</v>
      </c>
      <c r="H124">
        <v>8</v>
      </c>
      <c r="I124">
        <v>315471</v>
      </c>
      <c r="J124">
        <v>2523768</v>
      </c>
      <c r="K124">
        <v>1954704.298435058</v>
      </c>
      <c r="L124">
        <v>145462.176942366</v>
      </c>
      <c r="M124">
        <v>2378305.8230576338</v>
      </c>
      <c r="N124">
        <v>423601.52462257585</v>
      </c>
    </row>
    <row r="125" spans="1:14" x14ac:dyDescent="0.25">
      <c r="A125" t="s">
        <v>134</v>
      </c>
      <c r="B125">
        <v>45429</v>
      </c>
      <c r="C125" t="s">
        <v>617</v>
      </c>
      <c r="D125" t="s">
        <v>618</v>
      </c>
      <c r="E125" t="s">
        <v>621</v>
      </c>
      <c r="F125" t="s">
        <v>625</v>
      </c>
      <c r="G125" t="s">
        <v>631</v>
      </c>
      <c r="H125">
        <v>3</v>
      </c>
      <c r="I125">
        <v>170318</v>
      </c>
      <c r="J125">
        <v>510954</v>
      </c>
      <c r="K125">
        <v>293977.78257927782</v>
      </c>
      <c r="L125">
        <v>660.597894016753</v>
      </c>
      <c r="M125">
        <v>510293.40210598317</v>
      </c>
      <c r="N125">
        <v>216315.61952670536</v>
      </c>
    </row>
    <row r="126" spans="1:14" x14ac:dyDescent="0.25">
      <c r="A126" t="s">
        <v>135</v>
      </c>
      <c r="B126">
        <v>45333</v>
      </c>
      <c r="C126" t="s">
        <v>617</v>
      </c>
      <c r="D126" t="s">
        <v>618</v>
      </c>
      <c r="E126" t="s">
        <v>624</v>
      </c>
      <c r="F126" t="s">
        <v>625</v>
      </c>
      <c r="G126" t="s">
        <v>633</v>
      </c>
      <c r="H126">
        <v>6</v>
      </c>
      <c r="I126">
        <v>472984</v>
      </c>
      <c r="J126">
        <v>2837904</v>
      </c>
      <c r="K126">
        <v>2137690.0604336541</v>
      </c>
      <c r="L126">
        <v>281655.85455784149</v>
      </c>
      <c r="M126">
        <v>2556248.145442158</v>
      </c>
      <c r="N126">
        <v>418558.08500850387</v>
      </c>
    </row>
    <row r="127" spans="1:14" x14ac:dyDescent="0.25">
      <c r="A127" t="s">
        <v>136</v>
      </c>
      <c r="B127">
        <v>45500</v>
      </c>
      <c r="C127" t="s">
        <v>615</v>
      </c>
      <c r="D127" t="s">
        <v>619</v>
      </c>
      <c r="E127" t="s">
        <v>622</v>
      </c>
      <c r="F127" t="s">
        <v>630</v>
      </c>
      <c r="G127" t="s">
        <v>632</v>
      </c>
      <c r="H127">
        <v>9</v>
      </c>
      <c r="I127">
        <v>245490</v>
      </c>
      <c r="J127">
        <v>2209410</v>
      </c>
      <c r="K127">
        <v>1425524.967932401</v>
      </c>
      <c r="L127">
        <v>126212.98307786111</v>
      </c>
      <c r="M127">
        <v>2083197.0169221391</v>
      </c>
      <c r="N127">
        <v>657672.0489897381</v>
      </c>
    </row>
    <row r="128" spans="1:14" x14ac:dyDescent="0.25">
      <c r="A128" t="s">
        <v>137</v>
      </c>
      <c r="B128">
        <v>45654</v>
      </c>
      <c r="C128" t="s">
        <v>616</v>
      </c>
      <c r="D128" t="s">
        <v>618</v>
      </c>
      <c r="E128" t="s">
        <v>623</v>
      </c>
      <c r="F128" t="s">
        <v>629</v>
      </c>
      <c r="G128" t="s">
        <v>631</v>
      </c>
      <c r="H128">
        <v>1</v>
      </c>
      <c r="I128">
        <v>223860</v>
      </c>
      <c r="J128">
        <v>223860</v>
      </c>
      <c r="K128">
        <v>146455.6217308575</v>
      </c>
      <c r="L128">
        <v>32889.882839412079</v>
      </c>
      <c r="M128">
        <v>190970.11716058789</v>
      </c>
      <c r="N128">
        <v>44514.495429730392</v>
      </c>
    </row>
    <row r="129" spans="1:14" x14ac:dyDescent="0.25">
      <c r="A129" t="s">
        <v>138</v>
      </c>
      <c r="B129">
        <v>45025</v>
      </c>
      <c r="C129" t="s">
        <v>615</v>
      </c>
      <c r="D129" t="s">
        <v>619</v>
      </c>
      <c r="E129" t="s">
        <v>621</v>
      </c>
      <c r="F129" t="s">
        <v>627</v>
      </c>
      <c r="G129" t="s">
        <v>631</v>
      </c>
      <c r="H129">
        <v>1</v>
      </c>
      <c r="I129">
        <v>165945</v>
      </c>
      <c r="J129">
        <v>165945</v>
      </c>
      <c r="K129">
        <v>98329.13069153174</v>
      </c>
      <c r="L129">
        <v>794.75259806207669</v>
      </c>
      <c r="M129">
        <v>165150.2474019379</v>
      </c>
      <c r="N129">
        <v>66821.116710406161</v>
      </c>
    </row>
    <row r="130" spans="1:14" x14ac:dyDescent="0.25">
      <c r="A130" t="s">
        <v>139</v>
      </c>
      <c r="B130">
        <v>45610</v>
      </c>
      <c r="C130" t="s">
        <v>613</v>
      </c>
      <c r="D130" t="s">
        <v>619</v>
      </c>
      <c r="E130" t="s">
        <v>623</v>
      </c>
      <c r="F130" t="s">
        <v>628</v>
      </c>
      <c r="G130" t="s">
        <v>631</v>
      </c>
      <c r="H130">
        <v>8</v>
      </c>
      <c r="I130">
        <v>263456</v>
      </c>
      <c r="J130">
        <v>2107648</v>
      </c>
      <c r="K130">
        <v>1416155.3744150801</v>
      </c>
      <c r="L130">
        <v>246522.23336860549</v>
      </c>
      <c r="M130">
        <v>1861125.7666313951</v>
      </c>
      <c r="N130">
        <v>444970.39221631503</v>
      </c>
    </row>
    <row r="131" spans="1:14" x14ac:dyDescent="0.25">
      <c r="A131" t="s">
        <v>140</v>
      </c>
      <c r="B131">
        <v>45652</v>
      </c>
      <c r="C131" t="s">
        <v>615</v>
      </c>
      <c r="D131" t="s">
        <v>618</v>
      </c>
      <c r="E131" t="s">
        <v>622</v>
      </c>
      <c r="F131" t="s">
        <v>625</v>
      </c>
      <c r="G131" t="s">
        <v>631</v>
      </c>
      <c r="H131">
        <v>3</v>
      </c>
      <c r="I131">
        <v>358974</v>
      </c>
      <c r="J131">
        <v>1076922</v>
      </c>
      <c r="K131">
        <v>643529.12757485104</v>
      </c>
      <c r="L131">
        <v>202778.86376070141</v>
      </c>
      <c r="M131">
        <v>874143.13623929862</v>
      </c>
      <c r="N131">
        <v>230614.00866444758</v>
      </c>
    </row>
    <row r="132" spans="1:14" x14ac:dyDescent="0.25">
      <c r="A132" t="s">
        <v>141</v>
      </c>
      <c r="B132">
        <v>45473</v>
      </c>
      <c r="C132" t="s">
        <v>617</v>
      </c>
      <c r="D132" t="s">
        <v>619</v>
      </c>
      <c r="E132" t="s">
        <v>622</v>
      </c>
      <c r="F132" t="s">
        <v>628</v>
      </c>
      <c r="G132" t="s">
        <v>631</v>
      </c>
      <c r="H132">
        <v>5</v>
      </c>
      <c r="I132">
        <v>102446</v>
      </c>
      <c r="J132">
        <v>512230</v>
      </c>
      <c r="K132">
        <v>262149.49161710049</v>
      </c>
      <c r="L132">
        <v>17867.531778504679</v>
      </c>
      <c r="M132">
        <v>494362.46822149528</v>
      </c>
      <c r="N132">
        <v>232212.97660439479</v>
      </c>
    </row>
    <row r="133" spans="1:14" x14ac:dyDescent="0.25">
      <c r="A133" t="s">
        <v>142</v>
      </c>
      <c r="B133">
        <v>45539</v>
      </c>
      <c r="C133" t="s">
        <v>615</v>
      </c>
      <c r="D133" t="s">
        <v>619</v>
      </c>
      <c r="E133" t="s">
        <v>620</v>
      </c>
      <c r="F133" t="s">
        <v>626</v>
      </c>
      <c r="G133" t="s">
        <v>631</v>
      </c>
      <c r="H133">
        <v>1</v>
      </c>
      <c r="I133">
        <v>458376</v>
      </c>
      <c r="J133">
        <v>458376</v>
      </c>
      <c r="K133">
        <v>266591.28981699742</v>
      </c>
      <c r="L133">
        <v>43238.561394458993</v>
      </c>
      <c r="M133">
        <v>415137.43860554101</v>
      </c>
      <c r="N133">
        <v>148546.14878854359</v>
      </c>
    </row>
    <row r="134" spans="1:14" x14ac:dyDescent="0.25">
      <c r="A134" t="s">
        <v>143</v>
      </c>
      <c r="B134">
        <v>45388</v>
      </c>
      <c r="C134" t="s">
        <v>616</v>
      </c>
      <c r="D134" t="s">
        <v>618</v>
      </c>
      <c r="E134" t="s">
        <v>624</v>
      </c>
      <c r="F134" t="s">
        <v>630</v>
      </c>
      <c r="G134" t="s">
        <v>633</v>
      </c>
      <c r="H134">
        <v>5</v>
      </c>
      <c r="I134">
        <v>237655</v>
      </c>
      <c r="J134">
        <v>1188275</v>
      </c>
      <c r="K134">
        <v>596411.5173411899</v>
      </c>
      <c r="L134">
        <v>21726.893465301979</v>
      </c>
      <c r="M134">
        <v>1166548.106534698</v>
      </c>
      <c r="N134">
        <v>570136.58919350815</v>
      </c>
    </row>
    <row r="135" spans="1:14" x14ac:dyDescent="0.25">
      <c r="A135" t="s">
        <v>144</v>
      </c>
      <c r="B135">
        <v>45569</v>
      </c>
      <c r="C135" t="s">
        <v>614</v>
      </c>
      <c r="D135" t="s">
        <v>619</v>
      </c>
      <c r="E135" t="s">
        <v>620</v>
      </c>
      <c r="F135" t="s">
        <v>628</v>
      </c>
      <c r="G135" t="s">
        <v>632</v>
      </c>
      <c r="H135">
        <v>6</v>
      </c>
      <c r="I135">
        <v>477214</v>
      </c>
      <c r="J135">
        <v>2863284</v>
      </c>
      <c r="K135">
        <v>2272034.282430992</v>
      </c>
      <c r="L135">
        <v>358301.00169346691</v>
      </c>
      <c r="M135">
        <v>2504982.9983065329</v>
      </c>
      <c r="N135">
        <v>232948.71587554086</v>
      </c>
    </row>
    <row r="136" spans="1:14" x14ac:dyDescent="0.25">
      <c r="A136" t="s">
        <v>145</v>
      </c>
      <c r="B136">
        <v>44931</v>
      </c>
      <c r="C136" t="s">
        <v>615</v>
      </c>
      <c r="D136" t="s">
        <v>619</v>
      </c>
      <c r="E136" t="s">
        <v>621</v>
      </c>
      <c r="F136" t="s">
        <v>630</v>
      </c>
      <c r="G136" t="s">
        <v>632</v>
      </c>
      <c r="H136">
        <v>8</v>
      </c>
      <c r="I136">
        <v>470446</v>
      </c>
      <c r="J136">
        <v>3763568</v>
      </c>
      <c r="K136">
        <v>2972180.588490067</v>
      </c>
      <c r="L136">
        <v>414392.68321563507</v>
      </c>
      <c r="M136">
        <v>3349175.3167843651</v>
      </c>
      <c r="N136">
        <v>376994.72829429805</v>
      </c>
    </row>
    <row r="137" spans="1:14" x14ac:dyDescent="0.25">
      <c r="A137" t="s">
        <v>146</v>
      </c>
      <c r="B137">
        <v>45144</v>
      </c>
      <c r="C137" t="s">
        <v>616</v>
      </c>
      <c r="D137" t="s">
        <v>619</v>
      </c>
      <c r="E137" t="s">
        <v>623</v>
      </c>
      <c r="F137" t="s">
        <v>628</v>
      </c>
      <c r="G137" t="s">
        <v>631</v>
      </c>
      <c r="H137">
        <v>3</v>
      </c>
      <c r="I137">
        <v>190148</v>
      </c>
      <c r="J137">
        <v>570444</v>
      </c>
      <c r="K137">
        <v>352846.19055338751</v>
      </c>
      <c r="L137">
        <v>46475.843818812988</v>
      </c>
      <c r="M137">
        <v>523968.15618118702</v>
      </c>
      <c r="N137">
        <v>171121.96562779951</v>
      </c>
    </row>
    <row r="138" spans="1:14" x14ac:dyDescent="0.25">
      <c r="A138" t="s">
        <v>147</v>
      </c>
      <c r="B138">
        <v>45429</v>
      </c>
      <c r="C138" t="s">
        <v>616</v>
      </c>
      <c r="D138" t="s">
        <v>618</v>
      </c>
      <c r="E138" t="s">
        <v>621</v>
      </c>
      <c r="F138" t="s">
        <v>627</v>
      </c>
      <c r="G138" t="s">
        <v>632</v>
      </c>
      <c r="H138">
        <v>3</v>
      </c>
      <c r="I138">
        <v>119341</v>
      </c>
      <c r="J138">
        <v>358023</v>
      </c>
      <c r="K138">
        <v>257243.55551497289</v>
      </c>
      <c r="L138">
        <v>37332.993071818652</v>
      </c>
      <c r="M138">
        <v>320690.00692818128</v>
      </c>
      <c r="N138">
        <v>63446.451413208386</v>
      </c>
    </row>
    <row r="139" spans="1:14" x14ac:dyDescent="0.25">
      <c r="A139" t="s">
        <v>148</v>
      </c>
      <c r="B139">
        <v>45324</v>
      </c>
      <c r="C139" t="s">
        <v>617</v>
      </c>
      <c r="D139" t="s">
        <v>619</v>
      </c>
      <c r="E139" t="s">
        <v>622</v>
      </c>
      <c r="F139" t="s">
        <v>627</v>
      </c>
      <c r="G139" t="s">
        <v>632</v>
      </c>
      <c r="H139">
        <v>9</v>
      </c>
      <c r="I139">
        <v>81085</v>
      </c>
      <c r="J139">
        <v>729765</v>
      </c>
      <c r="K139">
        <v>440589.65622194507</v>
      </c>
      <c r="L139">
        <v>130857.7611275275</v>
      </c>
      <c r="M139">
        <v>598907.23887247255</v>
      </c>
      <c r="N139">
        <v>158317.58265052747</v>
      </c>
    </row>
    <row r="140" spans="1:14" x14ac:dyDescent="0.25">
      <c r="A140" t="s">
        <v>149</v>
      </c>
      <c r="B140">
        <v>45319</v>
      </c>
      <c r="C140" t="s">
        <v>616</v>
      </c>
      <c r="D140" t="s">
        <v>618</v>
      </c>
      <c r="E140" t="s">
        <v>620</v>
      </c>
      <c r="F140" t="s">
        <v>627</v>
      </c>
      <c r="G140" t="s">
        <v>632</v>
      </c>
      <c r="H140">
        <v>4</v>
      </c>
      <c r="I140">
        <v>367715</v>
      </c>
      <c r="J140">
        <v>1470860</v>
      </c>
      <c r="K140">
        <v>1031555.224309444</v>
      </c>
      <c r="L140">
        <v>57744.287499451217</v>
      </c>
      <c r="M140">
        <v>1413115.7125005489</v>
      </c>
      <c r="N140">
        <v>381560.48819110496</v>
      </c>
    </row>
    <row r="141" spans="1:14" x14ac:dyDescent="0.25">
      <c r="A141" t="s">
        <v>150</v>
      </c>
      <c r="B141">
        <v>45133</v>
      </c>
      <c r="C141" t="s">
        <v>616</v>
      </c>
      <c r="D141" t="s">
        <v>618</v>
      </c>
      <c r="E141" t="s">
        <v>620</v>
      </c>
      <c r="F141" t="s">
        <v>627</v>
      </c>
      <c r="G141" t="s">
        <v>631</v>
      </c>
      <c r="H141">
        <v>4</v>
      </c>
      <c r="I141">
        <v>457931</v>
      </c>
      <c r="J141">
        <v>1831724</v>
      </c>
      <c r="K141">
        <v>1358459.6620505061</v>
      </c>
      <c r="L141">
        <v>8266.3915277930919</v>
      </c>
      <c r="M141">
        <v>1823457.6084722071</v>
      </c>
      <c r="N141">
        <v>464997.946421701</v>
      </c>
    </row>
    <row r="142" spans="1:14" x14ac:dyDescent="0.25">
      <c r="A142" t="s">
        <v>151</v>
      </c>
      <c r="B142">
        <v>44941</v>
      </c>
      <c r="C142" t="s">
        <v>616</v>
      </c>
      <c r="D142" t="s">
        <v>619</v>
      </c>
      <c r="E142" t="s">
        <v>620</v>
      </c>
      <c r="F142" t="s">
        <v>627</v>
      </c>
      <c r="G142" t="s">
        <v>631</v>
      </c>
      <c r="H142">
        <v>7</v>
      </c>
      <c r="I142">
        <v>440452</v>
      </c>
      <c r="J142">
        <v>3083164</v>
      </c>
      <c r="K142">
        <v>2417283.4311230928</v>
      </c>
      <c r="L142">
        <v>531330.83051368373</v>
      </c>
      <c r="M142">
        <v>2551833.1694863159</v>
      </c>
      <c r="N142">
        <v>134549.73836322315</v>
      </c>
    </row>
    <row r="143" spans="1:14" x14ac:dyDescent="0.25">
      <c r="A143" t="s">
        <v>152</v>
      </c>
      <c r="B143">
        <v>45480</v>
      </c>
      <c r="C143" t="s">
        <v>616</v>
      </c>
      <c r="D143" t="s">
        <v>619</v>
      </c>
      <c r="E143" t="s">
        <v>621</v>
      </c>
      <c r="F143" t="s">
        <v>627</v>
      </c>
      <c r="G143" t="s">
        <v>632</v>
      </c>
      <c r="H143">
        <v>2</v>
      </c>
      <c r="I143">
        <v>55750</v>
      </c>
      <c r="J143">
        <v>111500</v>
      </c>
      <c r="K143">
        <v>69137.100627171531</v>
      </c>
      <c r="L143">
        <v>12869.71093725032</v>
      </c>
      <c r="M143">
        <v>98630.289062749682</v>
      </c>
      <c r="N143">
        <v>29493.188435578151</v>
      </c>
    </row>
    <row r="144" spans="1:14" x14ac:dyDescent="0.25">
      <c r="A144" t="s">
        <v>153</v>
      </c>
      <c r="B144">
        <v>45387</v>
      </c>
      <c r="C144" t="s">
        <v>613</v>
      </c>
      <c r="D144" t="s">
        <v>619</v>
      </c>
      <c r="E144" t="s">
        <v>622</v>
      </c>
      <c r="F144" t="s">
        <v>630</v>
      </c>
      <c r="G144" t="s">
        <v>632</v>
      </c>
      <c r="H144">
        <v>8</v>
      </c>
      <c r="I144">
        <v>426075</v>
      </c>
      <c r="J144">
        <v>3408600</v>
      </c>
      <c r="K144">
        <v>2505284.851411195</v>
      </c>
      <c r="L144">
        <v>607179.68225744716</v>
      </c>
      <c r="M144">
        <v>2801420.3177425531</v>
      </c>
      <c r="N144">
        <v>296135.46633135807</v>
      </c>
    </row>
    <row r="145" spans="1:14" x14ac:dyDescent="0.25">
      <c r="A145" t="s">
        <v>154</v>
      </c>
      <c r="B145">
        <v>45617</v>
      </c>
      <c r="C145" t="s">
        <v>613</v>
      </c>
      <c r="D145" t="s">
        <v>618</v>
      </c>
      <c r="E145" t="s">
        <v>623</v>
      </c>
      <c r="F145" t="s">
        <v>625</v>
      </c>
      <c r="G145" t="s">
        <v>631</v>
      </c>
      <c r="H145">
        <v>6</v>
      </c>
      <c r="I145">
        <v>390912</v>
      </c>
      <c r="J145">
        <v>2345472</v>
      </c>
      <c r="K145">
        <v>1359854.3204883051</v>
      </c>
      <c r="L145">
        <v>280023.66140986822</v>
      </c>
      <c r="M145">
        <v>2065448.3385901321</v>
      </c>
      <c r="N145">
        <v>705594.01810182701</v>
      </c>
    </row>
    <row r="146" spans="1:14" x14ac:dyDescent="0.25">
      <c r="A146" t="s">
        <v>155</v>
      </c>
      <c r="B146">
        <v>45501</v>
      </c>
      <c r="C146" t="s">
        <v>617</v>
      </c>
      <c r="D146" t="s">
        <v>619</v>
      </c>
      <c r="E146" t="s">
        <v>623</v>
      </c>
      <c r="F146" t="s">
        <v>628</v>
      </c>
      <c r="G146" t="s">
        <v>633</v>
      </c>
      <c r="H146">
        <v>3</v>
      </c>
      <c r="I146">
        <v>85903</v>
      </c>
      <c r="J146">
        <v>257709</v>
      </c>
      <c r="K146">
        <v>205419.7643035072</v>
      </c>
      <c r="L146">
        <v>41757.160866484999</v>
      </c>
      <c r="M146">
        <v>215951.83913351499</v>
      </c>
      <c r="N146">
        <v>10532.074830007798</v>
      </c>
    </row>
    <row r="147" spans="1:14" x14ac:dyDescent="0.25">
      <c r="A147" t="s">
        <v>156</v>
      </c>
      <c r="B147">
        <v>45167</v>
      </c>
      <c r="C147" t="s">
        <v>615</v>
      </c>
      <c r="D147" t="s">
        <v>619</v>
      </c>
      <c r="E147" t="s">
        <v>621</v>
      </c>
      <c r="F147" t="s">
        <v>627</v>
      </c>
      <c r="G147" t="s">
        <v>632</v>
      </c>
      <c r="H147">
        <v>9</v>
      </c>
      <c r="I147">
        <v>253561</v>
      </c>
      <c r="J147">
        <v>2282049</v>
      </c>
      <c r="K147">
        <v>1158666.746127177</v>
      </c>
      <c r="L147">
        <v>196107.13383425039</v>
      </c>
      <c r="M147">
        <v>2085941.866165749</v>
      </c>
      <c r="N147">
        <v>927275.120038572</v>
      </c>
    </row>
    <row r="148" spans="1:14" x14ac:dyDescent="0.25">
      <c r="A148" t="s">
        <v>157</v>
      </c>
      <c r="B148">
        <v>45490</v>
      </c>
      <c r="C148" t="s">
        <v>616</v>
      </c>
      <c r="D148" t="s">
        <v>619</v>
      </c>
      <c r="E148" t="s">
        <v>620</v>
      </c>
      <c r="F148" t="s">
        <v>630</v>
      </c>
      <c r="G148" t="s">
        <v>633</v>
      </c>
      <c r="H148">
        <v>5</v>
      </c>
      <c r="I148">
        <v>475309</v>
      </c>
      <c r="J148">
        <v>2376545</v>
      </c>
      <c r="K148">
        <v>1618566.5102338621</v>
      </c>
      <c r="L148">
        <v>356415.17408069578</v>
      </c>
      <c r="M148">
        <v>2020129.825919304</v>
      </c>
      <c r="N148">
        <v>401563.31568544195</v>
      </c>
    </row>
    <row r="149" spans="1:14" x14ac:dyDescent="0.25">
      <c r="A149" t="s">
        <v>158</v>
      </c>
      <c r="B149">
        <v>45022</v>
      </c>
      <c r="C149" t="s">
        <v>615</v>
      </c>
      <c r="D149" t="s">
        <v>619</v>
      </c>
      <c r="E149" t="s">
        <v>624</v>
      </c>
      <c r="F149" t="s">
        <v>630</v>
      </c>
      <c r="G149" t="s">
        <v>632</v>
      </c>
      <c r="H149">
        <v>8</v>
      </c>
      <c r="I149">
        <v>141036</v>
      </c>
      <c r="J149">
        <v>1128288</v>
      </c>
      <c r="K149">
        <v>787377.80550762382</v>
      </c>
      <c r="L149">
        <v>206034.7461188444</v>
      </c>
      <c r="M149">
        <v>922253.25388115563</v>
      </c>
      <c r="N149">
        <v>134875.44837353181</v>
      </c>
    </row>
    <row r="150" spans="1:14" x14ac:dyDescent="0.25">
      <c r="A150" t="s">
        <v>159</v>
      </c>
      <c r="B150">
        <v>45411</v>
      </c>
      <c r="C150" t="s">
        <v>615</v>
      </c>
      <c r="D150" t="s">
        <v>619</v>
      </c>
      <c r="E150" t="s">
        <v>621</v>
      </c>
      <c r="F150" t="s">
        <v>630</v>
      </c>
      <c r="G150" t="s">
        <v>633</v>
      </c>
      <c r="H150">
        <v>7</v>
      </c>
      <c r="I150">
        <v>137954</v>
      </c>
      <c r="J150">
        <v>965678</v>
      </c>
      <c r="K150">
        <v>682168.13723926921</v>
      </c>
      <c r="L150">
        <v>110497.3118722666</v>
      </c>
      <c r="M150">
        <v>855180.68812773342</v>
      </c>
      <c r="N150">
        <v>173012.5508884642</v>
      </c>
    </row>
    <row r="151" spans="1:14" x14ac:dyDescent="0.25">
      <c r="A151" t="s">
        <v>160</v>
      </c>
      <c r="B151">
        <v>45333</v>
      </c>
      <c r="C151" t="s">
        <v>617</v>
      </c>
      <c r="D151" t="s">
        <v>618</v>
      </c>
      <c r="E151" t="s">
        <v>621</v>
      </c>
      <c r="F151" t="s">
        <v>625</v>
      </c>
      <c r="G151" t="s">
        <v>633</v>
      </c>
      <c r="H151">
        <v>8</v>
      </c>
      <c r="I151">
        <v>477530</v>
      </c>
      <c r="J151">
        <v>3820240</v>
      </c>
      <c r="K151">
        <v>2048092.833197969</v>
      </c>
      <c r="L151">
        <v>138128.53271688501</v>
      </c>
      <c r="M151">
        <v>3682111.4672831148</v>
      </c>
      <c r="N151">
        <v>1634018.6340851458</v>
      </c>
    </row>
    <row r="152" spans="1:14" x14ac:dyDescent="0.25">
      <c r="A152" t="s">
        <v>161</v>
      </c>
      <c r="B152">
        <v>45157</v>
      </c>
      <c r="C152" t="s">
        <v>616</v>
      </c>
      <c r="D152" t="s">
        <v>618</v>
      </c>
      <c r="E152" t="s">
        <v>622</v>
      </c>
      <c r="F152" t="s">
        <v>628</v>
      </c>
      <c r="G152" t="s">
        <v>633</v>
      </c>
      <c r="H152">
        <v>7</v>
      </c>
      <c r="I152">
        <v>491441</v>
      </c>
      <c r="J152">
        <v>3440087</v>
      </c>
      <c r="K152">
        <v>2688630.7321716188</v>
      </c>
      <c r="L152">
        <v>184937.43621927791</v>
      </c>
      <c r="M152">
        <v>3255149.5637807222</v>
      </c>
      <c r="N152">
        <v>566518.83160910336</v>
      </c>
    </row>
    <row r="153" spans="1:14" x14ac:dyDescent="0.25">
      <c r="A153" t="s">
        <v>162</v>
      </c>
      <c r="B153">
        <v>45581</v>
      </c>
      <c r="C153" t="s">
        <v>616</v>
      </c>
      <c r="D153" t="s">
        <v>619</v>
      </c>
      <c r="E153" t="s">
        <v>623</v>
      </c>
      <c r="F153" t="s">
        <v>625</v>
      </c>
      <c r="G153" t="s">
        <v>631</v>
      </c>
      <c r="H153">
        <v>3</v>
      </c>
      <c r="I153">
        <v>395158</v>
      </c>
      <c r="J153">
        <v>1185474</v>
      </c>
      <c r="K153">
        <v>657173.41996458545</v>
      </c>
      <c r="L153">
        <v>47097.596230575044</v>
      </c>
      <c r="M153">
        <v>1138376.4037694249</v>
      </c>
      <c r="N153">
        <v>481202.98380483943</v>
      </c>
    </row>
    <row r="154" spans="1:14" x14ac:dyDescent="0.25">
      <c r="A154" t="s">
        <v>163</v>
      </c>
      <c r="B154">
        <v>45097</v>
      </c>
      <c r="C154" t="s">
        <v>614</v>
      </c>
      <c r="D154" t="s">
        <v>619</v>
      </c>
      <c r="E154" t="s">
        <v>621</v>
      </c>
      <c r="F154" t="s">
        <v>629</v>
      </c>
      <c r="G154" t="s">
        <v>633</v>
      </c>
      <c r="H154">
        <v>2</v>
      </c>
      <c r="I154">
        <v>478395</v>
      </c>
      <c r="J154">
        <v>956790</v>
      </c>
      <c r="K154">
        <v>657148.26860575425</v>
      </c>
      <c r="L154">
        <v>47238.067086664261</v>
      </c>
      <c r="M154">
        <v>909551.93291333574</v>
      </c>
      <c r="N154">
        <v>252403.66430758149</v>
      </c>
    </row>
    <row r="155" spans="1:14" x14ac:dyDescent="0.25">
      <c r="A155" t="s">
        <v>164</v>
      </c>
      <c r="B155">
        <v>45467</v>
      </c>
      <c r="C155" t="s">
        <v>615</v>
      </c>
      <c r="D155" t="s">
        <v>619</v>
      </c>
      <c r="E155" t="s">
        <v>621</v>
      </c>
      <c r="F155" t="s">
        <v>630</v>
      </c>
      <c r="G155" t="s">
        <v>633</v>
      </c>
      <c r="H155">
        <v>7</v>
      </c>
      <c r="I155">
        <v>167305</v>
      </c>
      <c r="J155">
        <v>1171135</v>
      </c>
      <c r="K155">
        <v>663802.62497714418</v>
      </c>
      <c r="L155">
        <v>71770.771455145208</v>
      </c>
      <c r="M155">
        <v>1099364.228544855</v>
      </c>
      <c r="N155">
        <v>435561.60356771084</v>
      </c>
    </row>
    <row r="156" spans="1:14" x14ac:dyDescent="0.25">
      <c r="A156" t="s">
        <v>165</v>
      </c>
      <c r="B156">
        <v>44962</v>
      </c>
      <c r="C156" t="s">
        <v>615</v>
      </c>
      <c r="D156" t="s">
        <v>619</v>
      </c>
      <c r="E156" t="s">
        <v>620</v>
      </c>
      <c r="F156" t="s">
        <v>629</v>
      </c>
      <c r="G156" t="s">
        <v>633</v>
      </c>
      <c r="H156">
        <v>3</v>
      </c>
      <c r="I156">
        <v>468554</v>
      </c>
      <c r="J156">
        <v>1405662</v>
      </c>
      <c r="K156">
        <v>832383.73295488616</v>
      </c>
      <c r="L156">
        <v>156066.0937910121</v>
      </c>
      <c r="M156">
        <v>1249595.906208988</v>
      </c>
      <c r="N156">
        <v>417212.17325410189</v>
      </c>
    </row>
    <row r="157" spans="1:14" x14ac:dyDescent="0.25">
      <c r="A157" t="s">
        <v>166</v>
      </c>
      <c r="B157">
        <v>45451</v>
      </c>
      <c r="C157" t="s">
        <v>613</v>
      </c>
      <c r="D157" t="s">
        <v>618</v>
      </c>
      <c r="E157" t="s">
        <v>620</v>
      </c>
      <c r="F157" t="s">
        <v>626</v>
      </c>
      <c r="G157" t="s">
        <v>632</v>
      </c>
      <c r="H157">
        <v>3</v>
      </c>
      <c r="I157">
        <v>250753</v>
      </c>
      <c r="J157">
        <v>752259</v>
      </c>
      <c r="K157">
        <v>499453.00684255722</v>
      </c>
      <c r="L157">
        <v>88464.399037766678</v>
      </c>
      <c r="M157">
        <v>663794.60096223326</v>
      </c>
      <c r="N157">
        <v>164341.59411967604</v>
      </c>
    </row>
    <row r="158" spans="1:14" x14ac:dyDescent="0.25">
      <c r="A158" t="s">
        <v>167</v>
      </c>
      <c r="B158">
        <v>45086</v>
      </c>
      <c r="C158" t="s">
        <v>614</v>
      </c>
      <c r="D158" t="s">
        <v>619</v>
      </c>
      <c r="E158" t="s">
        <v>624</v>
      </c>
      <c r="F158" t="s">
        <v>627</v>
      </c>
      <c r="G158" t="s">
        <v>633</v>
      </c>
      <c r="H158">
        <v>2</v>
      </c>
      <c r="I158">
        <v>82101</v>
      </c>
      <c r="J158">
        <v>164202</v>
      </c>
      <c r="K158">
        <v>102652.1981145422</v>
      </c>
      <c r="L158">
        <v>14006.422299321621</v>
      </c>
      <c r="M158">
        <v>150195.5777006784</v>
      </c>
      <c r="N158">
        <v>47543.379586136201</v>
      </c>
    </row>
    <row r="159" spans="1:14" x14ac:dyDescent="0.25">
      <c r="A159" t="s">
        <v>168</v>
      </c>
      <c r="B159">
        <v>45625</v>
      </c>
      <c r="C159" t="s">
        <v>613</v>
      </c>
      <c r="D159" t="s">
        <v>618</v>
      </c>
      <c r="E159" t="s">
        <v>622</v>
      </c>
      <c r="F159" t="s">
        <v>627</v>
      </c>
      <c r="G159" t="s">
        <v>632</v>
      </c>
      <c r="H159">
        <v>4</v>
      </c>
      <c r="I159">
        <v>52775</v>
      </c>
      <c r="J159">
        <v>211100</v>
      </c>
      <c r="K159">
        <v>115697.0873098422</v>
      </c>
      <c r="L159">
        <v>25983.06532403567</v>
      </c>
      <c r="M159">
        <v>185116.93467596429</v>
      </c>
      <c r="N159">
        <v>69419.847366122092</v>
      </c>
    </row>
    <row r="160" spans="1:14" x14ac:dyDescent="0.25">
      <c r="A160" t="s">
        <v>169</v>
      </c>
      <c r="B160">
        <v>45169</v>
      </c>
      <c r="C160" t="s">
        <v>613</v>
      </c>
      <c r="D160" t="s">
        <v>618</v>
      </c>
      <c r="E160" t="s">
        <v>624</v>
      </c>
      <c r="F160" t="s">
        <v>625</v>
      </c>
      <c r="G160" t="s">
        <v>633</v>
      </c>
      <c r="H160">
        <v>8</v>
      </c>
      <c r="I160">
        <v>161497</v>
      </c>
      <c r="J160">
        <v>1291976</v>
      </c>
      <c r="K160">
        <v>712241.71883622336</v>
      </c>
      <c r="L160">
        <v>21078.569218334022</v>
      </c>
      <c r="M160">
        <v>1270897.430781666</v>
      </c>
      <c r="N160">
        <v>558655.7119454426</v>
      </c>
    </row>
    <row r="161" spans="1:14" x14ac:dyDescent="0.25">
      <c r="A161" t="s">
        <v>170</v>
      </c>
      <c r="B161">
        <v>45012</v>
      </c>
      <c r="C161" t="s">
        <v>613</v>
      </c>
      <c r="D161" t="s">
        <v>619</v>
      </c>
      <c r="E161" t="s">
        <v>620</v>
      </c>
      <c r="F161" t="s">
        <v>628</v>
      </c>
      <c r="G161" t="s">
        <v>633</v>
      </c>
      <c r="H161">
        <v>1</v>
      </c>
      <c r="I161">
        <v>95619</v>
      </c>
      <c r="J161">
        <v>95619</v>
      </c>
      <c r="K161">
        <v>59804.275949801617</v>
      </c>
      <c r="L161">
        <v>1678.84468785284</v>
      </c>
      <c r="M161">
        <v>93940.155312147166</v>
      </c>
      <c r="N161">
        <v>34135.879362345549</v>
      </c>
    </row>
    <row r="162" spans="1:14" x14ac:dyDescent="0.25">
      <c r="A162" t="s">
        <v>171</v>
      </c>
      <c r="B162">
        <v>45504</v>
      </c>
      <c r="C162" t="s">
        <v>617</v>
      </c>
      <c r="D162" t="s">
        <v>618</v>
      </c>
      <c r="E162" t="s">
        <v>623</v>
      </c>
      <c r="F162" t="s">
        <v>629</v>
      </c>
      <c r="G162" t="s">
        <v>631</v>
      </c>
      <c r="H162">
        <v>1</v>
      </c>
      <c r="I162">
        <v>489054</v>
      </c>
      <c r="J162">
        <v>489054</v>
      </c>
      <c r="K162">
        <v>355632.68089726398</v>
      </c>
      <c r="L162">
        <v>16806.776981150859</v>
      </c>
      <c r="M162">
        <v>472247.22301884921</v>
      </c>
      <c r="N162">
        <v>116614.54212158523</v>
      </c>
    </row>
    <row r="164" spans="1:14" x14ac:dyDescent="0.25">
      <c r="A164" t="s">
        <v>172</v>
      </c>
      <c r="B164">
        <v>45608</v>
      </c>
      <c r="C164" t="s">
        <v>617</v>
      </c>
      <c r="D164" t="s">
        <v>618</v>
      </c>
      <c r="E164" t="s">
        <v>620</v>
      </c>
      <c r="F164" t="s">
        <v>628</v>
      </c>
      <c r="G164" t="s">
        <v>632</v>
      </c>
      <c r="H164">
        <v>5</v>
      </c>
      <c r="I164">
        <v>302388</v>
      </c>
      <c r="J164">
        <v>1511940</v>
      </c>
      <c r="K164">
        <v>1163270.6004465141</v>
      </c>
      <c r="L164">
        <v>156660.41847742381</v>
      </c>
      <c r="M164">
        <v>1355279.581522576</v>
      </c>
      <c r="N164">
        <v>192008.98107606196</v>
      </c>
    </row>
    <row r="165" spans="1:14" x14ac:dyDescent="0.25">
      <c r="A165" t="s">
        <v>173</v>
      </c>
      <c r="B165">
        <v>45483</v>
      </c>
      <c r="C165" t="s">
        <v>613</v>
      </c>
      <c r="D165" t="s">
        <v>618</v>
      </c>
      <c r="E165" t="s">
        <v>622</v>
      </c>
      <c r="F165" t="s">
        <v>625</v>
      </c>
      <c r="G165" t="s">
        <v>633</v>
      </c>
      <c r="H165">
        <v>5</v>
      </c>
      <c r="I165">
        <v>462755</v>
      </c>
      <c r="J165">
        <v>2313775</v>
      </c>
      <c r="K165">
        <v>1215283.244523261</v>
      </c>
      <c r="L165">
        <v>99027.107541038102</v>
      </c>
      <c r="M165">
        <v>2214747.8924589618</v>
      </c>
      <c r="N165">
        <v>999464.64793570084</v>
      </c>
    </row>
    <row r="166" spans="1:14" x14ac:dyDescent="0.25">
      <c r="A166" t="s">
        <v>174</v>
      </c>
      <c r="B166">
        <v>45500</v>
      </c>
      <c r="C166" t="s">
        <v>614</v>
      </c>
      <c r="D166" t="s">
        <v>618</v>
      </c>
      <c r="E166" t="s">
        <v>620</v>
      </c>
      <c r="F166" t="s">
        <v>627</v>
      </c>
      <c r="G166" t="s">
        <v>632</v>
      </c>
      <c r="H166">
        <v>1</v>
      </c>
      <c r="I166">
        <v>283346</v>
      </c>
      <c r="J166">
        <v>283346</v>
      </c>
      <c r="K166">
        <v>175088.32593739781</v>
      </c>
      <c r="L166">
        <v>16053.500518401561</v>
      </c>
      <c r="M166">
        <v>267292.49948159838</v>
      </c>
      <c r="N166">
        <v>92204.173544200574</v>
      </c>
    </row>
    <row r="167" spans="1:14" x14ac:dyDescent="0.25">
      <c r="A167" t="s">
        <v>175</v>
      </c>
      <c r="B167">
        <v>45572</v>
      </c>
      <c r="C167" t="s">
        <v>615</v>
      </c>
      <c r="D167" t="s">
        <v>619</v>
      </c>
      <c r="E167" t="s">
        <v>622</v>
      </c>
      <c r="F167" t="s">
        <v>628</v>
      </c>
      <c r="G167" t="s">
        <v>632</v>
      </c>
      <c r="H167">
        <v>6</v>
      </c>
      <c r="I167">
        <v>369268</v>
      </c>
      <c r="J167">
        <v>2215608</v>
      </c>
      <c r="K167">
        <v>1174435.4618846751</v>
      </c>
      <c r="L167">
        <v>177387.26446551501</v>
      </c>
      <c r="M167">
        <v>2038220.735534485</v>
      </c>
      <c r="N167">
        <v>863785.27364980988</v>
      </c>
    </row>
    <row r="168" spans="1:14" x14ac:dyDescent="0.25">
      <c r="A168" t="s">
        <v>176</v>
      </c>
      <c r="B168">
        <v>44954</v>
      </c>
      <c r="C168" t="s">
        <v>614</v>
      </c>
      <c r="D168" t="s">
        <v>619</v>
      </c>
      <c r="E168" t="s">
        <v>622</v>
      </c>
      <c r="F168" t="s">
        <v>628</v>
      </c>
      <c r="G168" t="s">
        <v>631</v>
      </c>
      <c r="H168">
        <v>1</v>
      </c>
      <c r="I168">
        <v>115149</v>
      </c>
      <c r="J168">
        <v>115149</v>
      </c>
      <c r="K168">
        <v>58147.682265708907</v>
      </c>
      <c r="L168">
        <v>18697.114462734251</v>
      </c>
      <c r="M168">
        <v>96451.885537265756</v>
      </c>
      <c r="N168">
        <v>38304.203271556849</v>
      </c>
    </row>
    <row r="169" spans="1:14" x14ac:dyDescent="0.25">
      <c r="A169" t="s">
        <v>177</v>
      </c>
      <c r="B169">
        <v>45546</v>
      </c>
      <c r="C169" t="s">
        <v>616</v>
      </c>
      <c r="D169" t="s">
        <v>618</v>
      </c>
      <c r="E169" t="s">
        <v>622</v>
      </c>
      <c r="F169" t="s">
        <v>627</v>
      </c>
      <c r="G169" t="s">
        <v>631</v>
      </c>
      <c r="H169">
        <v>5</v>
      </c>
      <c r="I169">
        <v>76616</v>
      </c>
      <c r="J169">
        <v>383080</v>
      </c>
      <c r="K169">
        <v>267587.35788417398</v>
      </c>
      <c r="L169">
        <v>1062.061405099691</v>
      </c>
      <c r="M169">
        <v>382017.9385949003</v>
      </c>
      <c r="N169">
        <v>114430.58071072632</v>
      </c>
    </row>
    <row r="170" spans="1:14" x14ac:dyDescent="0.25">
      <c r="A170" t="s">
        <v>178</v>
      </c>
      <c r="B170">
        <v>45482</v>
      </c>
      <c r="C170" t="s">
        <v>617</v>
      </c>
      <c r="D170" t="s">
        <v>619</v>
      </c>
      <c r="E170" t="s">
        <v>622</v>
      </c>
      <c r="F170" t="s">
        <v>629</v>
      </c>
      <c r="G170" t="s">
        <v>631</v>
      </c>
      <c r="H170">
        <v>9</v>
      </c>
      <c r="I170">
        <v>271767</v>
      </c>
      <c r="J170">
        <v>2445903</v>
      </c>
      <c r="K170">
        <v>1665011.369236321</v>
      </c>
      <c r="L170">
        <v>317663.5209106431</v>
      </c>
      <c r="M170">
        <v>2128239.479089357</v>
      </c>
      <c r="N170">
        <v>463228.109853036</v>
      </c>
    </row>
    <row r="171" spans="1:14" x14ac:dyDescent="0.25">
      <c r="A171" t="s">
        <v>179</v>
      </c>
      <c r="B171">
        <v>45266</v>
      </c>
      <c r="C171" t="s">
        <v>615</v>
      </c>
      <c r="D171" t="s">
        <v>619</v>
      </c>
      <c r="E171" t="s">
        <v>622</v>
      </c>
      <c r="F171" t="s">
        <v>627</v>
      </c>
      <c r="G171" t="s">
        <v>631</v>
      </c>
      <c r="H171">
        <v>5</v>
      </c>
      <c r="I171">
        <v>235639</v>
      </c>
      <c r="J171">
        <v>1178195</v>
      </c>
      <c r="K171">
        <v>646717.99144033901</v>
      </c>
      <c r="L171">
        <v>157613.39689789599</v>
      </c>
      <c r="M171">
        <v>1020581.603102104</v>
      </c>
      <c r="N171">
        <v>373863.61166176503</v>
      </c>
    </row>
    <row r="172" spans="1:14" x14ac:dyDescent="0.25">
      <c r="A172" t="s">
        <v>180</v>
      </c>
      <c r="B172">
        <v>45257</v>
      </c>
      <c r="C172" t="s">
        <v>615</v>
      </c>
      <c r="D172" t="s">
        <v>619</v>
      </c>
      <c r="E172" t="s">
        <v>623</v>
      </c>
      <c r="F172" t="s">
        <v>628</v>
      </c>
      <c r="G172" t="s">
        <v>631</v>
      </c>
      <c r="H172">
        <v>6</v>
      </c>
      <c r="I172">
        <v>218171</v>
      </c>
      <c r="J172">
        <v>1309026</v>
      </c>
      <c r="K172">
        <v>746333.12329574442</v>
      </c>
      <c r="L172">
        <v>209092.23630742531</v>
      </c>
      <c r="M172">
        <v>1099933.763692575</v>
      </c>
      <c r="N172">
        <v>353600.64039683063</v>
      </c>
    </row>
    <row r="173" spans="1:14" x14ac:dyDescent="0.25">
      <c r="A173" t="s">
        <v>181</v>
      </c>
      <c r="B173">
        <v>45566</v>
      </c>
      <c r="C173" t="s">
        <v>616</v>
      </c>
      <c r="D173" t="s">
        <v>619</v>
      </c>
      <c r="E173" t="s">
        <v>624</v>
      </c>
      <c r="F173" t="s">
        <v>629</v>
      </c>
      <c r="G173" t="s">
        <v>631</v>
      </c>
      <c r="H173">
        <v>8</v>
      </c>
      <c r="I173">
        <v>256903</v>
      </c>
      <c r="J173">
        <v>2055224</v>
      </c>
      <c r="K173">
        <v>1042229.423282891</v>
      </c>
      <c r="L173">
        <v>383403.24528545869</v>
      </c>
      <c r="M173">
        <v>1671820.7547145409</v>
      </c>
      <c r="N173">
        <v>629591.33143164986</v>
      </c>
    </row>
    <row r="174" spans="1:14" x14ac:dyDescent="0.25">
      <c r="A174" t="s">
        <v>182</v>
      </c>
      <c r="B174">
        <v>45432</v>
      </c>
      <c r="C174" t="s">
        <v>616</v>
      </c>
      <c r="D174" t="s">
        <v>619</v>
      </c>
      <c r="E174" t="s">
        <v>621</v>
      </c>
      <c r="F174" t="s">
        <v>629</v>
      </c>
      <c r="G174" t="s">
        <v>631</v>
      </c>
      <c r="H174">
        <v>1</v>
      </c>
      <c r="I174">
        <v>281318</v>
      </c>
      <c r="J174">
        <v>281318</v>
      </c>
      <c r="K174">
        <v>211124.70340346149</v>
      </c>
      <c r="L174">
        <v>1133.027878143263</v>
      </c>
      <c r="M174">
        <v>280184.97212185682</v>
      </c>
      <c r="N174">
        <v>69060.268718395324</v>
      </c>
    </row>
    <row r="175" spans="1:14" x14ac:dyDescent="0.25">
      <c r="A175" t="s">
        <v>183</v>
      </c>
      <c r="B175">
        <v>45274</v>
      </c>
      <c r="C175" t="s">
        <v>613</v>
      </c>
      <c r="D175" t="s">
        <v>618</v>
      </c>
      <c r="E175" t="s">
        <v>624</v>
      </c>
      <c r="F175" t="s">
        <v>627</v>
      </c>
      <c r="G175" t="s">
        <v>631</v>
      </c>
      <c r="H175">
        <v>2</v>
      </c>
      <c r="I175">
        <v>373943</v>
      </c>
      <c r="J175">
        <v>747886</v>
      </c>
      <c r="K175">
        <v>592630.2353349101</v>
      </c>
      <c r="L175">
        <v>23002.536076291439</v>
      </c>
      <c r="M175">
        <v>724883.46392370854</v>
      </c>
      <c r="N175">
        <v>132253.22858879843</v>
      </c>
    </row>
    <row r="176" spans="1:14" x14ac:dyDescent="0.25">
      <c r="A176" t="s">
        <v>184</v>
      </c>
      <c r="B176">
        <v>45399</v>
      </c>
      <c r="C176" t="s">
        <v>617</v>
      </c>
      <c r="D176" t="s">
        <v>619</v>
      </c>
      <c r="E176" t="s">
        <v>622</v>
      </c>
      <c r="F176" t="s">
        <v>628</v>
      </c>
      <c r="G176" t="s">
        <v>633</v>
      </c>
      <c r="H176">
        <v>9</v>
      </c>
      <c r="I176">
        <v>402365</v>
      </c>
      <c r="J176">
        <v>3621285</v>
      </c>
      <c r="K176">
        <v>1957803.776610469</v>
      </c>
      <c r="L176">
        <v>641815.76291911141</v>
      </c>
      <c r="M176">
        <v>2979469.2370808888</v>
      </c>
      <c r="N176">
        <v>1021665.4604704198</v>
      </c>
    </row>
    <row r="177" spans="1:14" x14ac:dyDescent="0.25">
      <c r="A177" t="s">
        <v>185</v>
      </c>
      <c r="B177">
        <v>45157</v>
      </c>
      <c r="C177" t="s">
        <v>617</v>
      </c>
      <c r="D177" t="s">
        <v>619</v>
      </c>
      <c r="E177" t="s">
        <v>623</v>
      </c>
      <c r="F177" t="s">
        <v>625</v>
      </c>
      <c r="G177" t="s">
        <v>632</v>
      </c>
      <c r="H177">
        <v>3</v>
      </c>
      <c r="I177">
        <v>427023</v>
      </c>
      <c r="J177">
        <v>1281069</v>
      </c>
      <c r="K177">
        <v>729495.21618692903</v>
      </c>
      <c r="L177">
        <v>117478.7831884715</v>
      </c>
      <c r="M177">
        <v>1163590.216811528</v>
      </c>
      <c r="N177">
        <v>434095.00062459894</v>
      </c>
    </row>
    <row r="178" spans="1:14" x14ac:dyDescent="0.25">
      <c r="A178" t="s">
        <v>186</v>
      </c>
      <c r="B178">
        <v>45116</v>
      </c>
      <c r="C178" t="s">
        <v>614</v>
      </c>
      <c r="D178" t="s">
        <v>619</v>
      </c>
      <c r="E178" t="s">
        <v>620</v>
      </c>
      <c r="F178" t="s">
        <v>628</v>
      </c>
      <c r="G178" t="s">
        <v>631</v>
      </c>
      <c r="H178">
        <v>6</v>
      </c>
      <c r="I178">
        <v>337623</v>
      </c>
      <c r="J178">
        <v>2025738</v>
      </c>
      <c r="K178">
        <v>1540620.051666365</v>
      </c>
      <c r="L178">
        <v>228742.54234635929</v>
      </c>
      <c r="M178">
        <v>1796995.457653641</v>
      </c>
      <c r="N178">
        <v>256375.405987276</v>
      </c>
    </row>
    <row r="179" spans="1:14" x14ac:dyDescent="0.25">
      <c r="A179" t="s">
        <v>187</v>
      </c>
      <c r="B179">
        <v>45151</v>
      </c>
      <c r="C179" t="s">
        <v>613</v>
      </c>
      <c r="D179" t="s">
        <v>619</v>
      </c>
      <c r="E179" t="s">
        <v>623</v>
      </c>
      <c r="F179" t="s">
        <v>630</v>
      </c>
      <c r="G179" t="s">
        <v>631</v>
      </c>
      <c r="H179">
        <v>5</v>
      </c>
      <c r="I179">
        <v>489388</v>
      </c>
      <c r="J179">
        <v>2446940</v>
      </c>
      <c r="K179">
        <v>1903570.397731272</v>
      </c>
      <c r="L179">
        <v>324477.55717566371</v>
      </c>
      <c r="M179">
        <v>2122462.4428243358</v>
      </c>
      <c r="N179">
        <v>218892.04509306373</v>
      </c>
    </row>
    <row r="180" spans="1:14" x14ac:dyDescent="0.25">
      <c r="A180" t="s">
        <v>188</v>
      </c>
      <c r="B180">
        <v>45311</v>
      </c>
      <c r="C180" t="s">
        <v>613</v>
      </c>
      <c r="D180" t="s">
        <v>618</v>
      </c>
      <c r="E180" t="s">
        <v>622</v>
      </c>
      <c r="F180" t="s">
        <v>626</v>
      </c>
      <c r="G180" t="s">
        <v>632</v>
      </c>
      <c r="H180">
        <v>2</v>
      </c>
      <c r="I180">
        <v>411309</v>
      </c>
      <c r="J180">
        <v>822618</v>
      </c>
      <c r="K180">
        <v>514866.91151693178</v>
      </c>
      <c r="L180">
        <v>111722.48241139849</v>
      </c>
      <c r="M180">
        <v>710895.51758860156</v>
      </c>
      <c r="N180">
        <v>196028.60607166978</v>
      </c>
    </row>
    <row r="181" spans="1:14" x14ac:dyDescent="0.25">
      <c r="A181" t="s">
        <v>189</v>
      </c>
      <c r="B181">
        <v>45303</v>
      </c>
      <c r="C181" t="s">
        <v>613</v>
      </c>
      <c r="D181" t="s">
        <v>618</v>
      </c>
      <c r="E181" t="s">
        <v>623</v>
      </c>
      <c r="F181" t="s">
        <v>625</v>
      </c>
      <c r="G181" t="s">
        <v>633</v>
      </c>
      <c r="H181">
        <v>7</v>
      </c>
      <c r="I181">
        <v>105863</v>
      </c>
      <c r="J181">
        <v>741041</v>
      </c>
      <c r="K181">
        <v>381774.49824182398</v>
      </c>
      <c r="L181">
        <v>138091.56804281371</v>
      </c>
      <c r="M181">
        <v>602949.4319571862</v>
      </c>
      <c r="N181">
        <v>221174.93371536222</v>
      </c>
    </row>
    <row r="182" spans="1:14" x14ac:dyDescent="0.25">
      <c r="A182" t="s">
        <v>190</v>
      </c>
      <c r="B182">
        <v>45209</v>
      </c>
      <c r="C182" t="s">
        <v>613</v>
      </c>
      <c r="D182" t="s">
        <v>618</v>
      </c>
      <c r="E182" t="s">
        <v>623</v>
      </c>
      <c r="F182" t="s">
        <v>629</v>
      </c>
      <c r="G182" t="s">
        <v>632</v>
      </c>
      <c r="H182">
        <v>4</v>
      </c>
      <c r="I182">
        <v>223115</v>
      </c>
      <c r="J182">
        <v>892460</v>
      </c>
      <c r="K182">
        <v>456776.69076924812</v>
      </c>
      <c r="L182">
        <v>177947.49541264371</v>
      </c>
      <c r="M182">
        <v>714512.50458735623</v>
      </c>
      <c r="N182">
        <v>257735.81381810812</v>
      </c>
    </row>
    <row r="183" spans="1:14" x14ac:dyDescent="0.25">
      <c r="A183" t="s">
        <v>191</v>
      </c>
      <c r="B183">
        <v>45559</v>
      </c>
      <c r="C183" t="s">
        <v>617</v>
      </c>
      <c r="D183" t="s">
        <v>618</v>
      </c>
      <c r="E183" t="s">
        <v>622</v>
      </c>
      <c r="F183" t="s">
        <v>625</v>
      </c>
      <c r="G183" t="s">
        <v>632</v>
      </c>
      <c r="H183">
        <v>1</v>
      </c>
      <c r="I183">
        <v>394713</v>
      </c>
      <c r="J183">
        <v>394713</v>
      </c>
      <c r="K183">
        <v>265320.14204570919</v>
      </c>
      <c r="L183">
        <v>56851.102375286842</v>
      </c>
      <c r="M183">
        <v>337861.89762471308</v>
      </c>
      <c r="N183">
        <v>72541.75557900389</v>
      </c>
    </row>
    <row r="184" spans="1:14" x14ac:dyDescent="0.25">
      <c r="A184" t="s">
        <v>192</v>
      </c>
      <c r="B184">
        <v>45554</v>
      </c>
      <c r="C184" t="s">
        <v>617</v>
      </c>
      <c r="D184" t="s">
        <v>619</v>
      </c>
      <c r="E184" t="s">
        <v>623</v>
      </c>
      <c r="F184" t="s">
        <v>629</v>
      </c>
      <c r="G184" t="s">
        <v>631</v>
      </c>
      <c r="H184">
        <v>4</v>
      </c>
      <c r="I184">
        <v>458624</v>
      </c>
      <c r="J184">
        <v>1834496</v>
      </c>
      <c r="K184">
        <v>1133477.351705231</v>
      </c>
      <c r="L184">
        <v>105381.2318804025</v>
      </c>
      <c r="M184">
        <v>1729114.768119598</v>
      </c>
      <c r="N184">
        <v>595637.41641436704</v>
      </c>
    </row>
    <row r="185" spans="1:14" x14ac:dyDescent="0.25">
      <c r="A185" t="s">
        <v>193</v>
      </c>
      <c r="B185">
        <v>45185</v>
      </c>
      <c r="C185" t="s">
        <v>613</v>
      </c>
      <c r="D185" t="s">
        <v>618</v>
      </c>
      <c r="E185" t="s">
        <v>621</v>
      </c>
      <c r="F185" t="s">
        <v>629</v>
      </c>
      <c r="G185" t="s">
        <v>632</v>
      </c>
      <c r="H185">
        <v>6</v>
      </c>
      <c r="I185">
        <v>303347</v>
      </c>
      <c r="J185">
        <v>1820082</v>
      </c>
      <c r="K185">
        <v>925685.93030711776</v>
      </c>
      <c r="L185">
        <v>320244.30237453867</v>
      </c>
      <c r="M185">
        <v>1499837.697625461</v>
      </c>
      <c r="N185">
        <v>574151.76731834328</v>
      </c>
    </row>
    <row r="186" spans="1:14" x14ac:dyDescent="0.25">
      <c r="A186" t="s">
        <v>194</v>
      </c>
      <c r="B186">
        <v>45285</v>
      </c>
      <c r="C186" t="s">
        <v>614</v>
      </c>
      <c r="D186" t="s">
        <v>619</v>
      </c>
      <c r="E186" t="s">
        <v>621</v>
      </c>
      <c r="F186" t="s">
        <v>625</v>
      </c>
      <c r="G186" t="s">
        <v>632</v>
      </c>
      <c r="H186">
        <v>7</v>
      </c>
      <c r="I186">
        <v>239052</v>
      </c>
      <c r="J186">
        <v>1673364</v>
      </c>
      <c r="K186">
        <v>1129480.0668629131</v>
      </c>
      <c r="L186">
        <v>16472.901287917401</v>
      </c>
      <c r="M186">
        <v>1656891.098712082</v>
      </c>
      <c r="N186">
        <v>527411.03184916894</v>
      </c>
    </row>
    <row r="187" spans="1:14" x14ac:dyDescent="0.25">
      <c r="A187" t="s">
        <v>195</v>
      </c>
      <c r="B187">
        <v>45636</v>
      </c>
      <c r="C187" t="s">
        <v>615</v>
      </c>
      <c r="D187" t="s">
        <v>619</v>
      </c>
      <c r="E187" t="s">
        <v>623</v>
      </c>
      <c r="F187" t="s">
        <v>629</v>
      </c>
      <c r="G187" t="s">
        <v>631</v>
      </c>
      <c r="H187">
        <v>7</v>
      </c>
      <c r="I187">
        <v>328495</v>
      </c>
      <c r="J187">
        <v>2299465</v>
      </c>
      <c r="K187">
        <v>1157529.4361893029</v>
      </c>
      <c r="L187">
        <v>106272.4666710107</v>
      </c>
      <c r="M187">
        <v>2193192.53332899</v>
      </c>
      <c r="N187">
        <v>1035663.097139687</v>
      </c>
    </row>
    <row r="188" spans="1:14" x14ac:dyDescent="0.25">
      <c r="A188" t="s">
        <v>196</v>
      </c>
      <c r="B188">
        <v>45382</v>
      </c>
      <c r="C188" t="s">
        <v>615</v>
      </c>
      <c r="D188" t="s">
        <v>619</v>
      </c>
      <c r="E188" t="s">
        <v>620</v>
      </c>
      <c r="F188" t="s">
        <v>629</v>
      </c>
      <c r="G188" t="s">
        <v>631</v>
      </c>
      <c r="H188">
        <v>7</v>
      </c>
      <c r="I188">
        <v>185203</v>
      </c>
      <c r="J188">
        <v>1296421</v>
      </c>
      <c r="K188">
        <v>954440.16240675154</v>
      </c>
      <c r="L188">
        <v>232677.93784400541</v>
      </c>
      <c r="M188">
        <v>1063743.0621559951</v>
      </c>
      <c r="N188">
        <v>109302.89974924352</v>
      </c>
    </row>
    <row r="189" spans="1:14" x14ac:dyDescent="0.25">
      <c r="A189" t="s">
        <v>197</v>
      </c>
      <c r="B189">
        <v>45337</v>
      </c>
      <c r="C189" t="s">
        <v>614</v>
      </c>
      <c r="D189" t="s">
        <v>619</v>
      </c>
      <c r="E189" t="s">
        <v>622</v>
      </c>
      <c r="F189" t="s">
        <v>630</v>
      </c>
      <c r="G189" t="s">
        <v>631</v>
      </c>
      <c r="H189">
        <v>3</v>
      </c>
      <c r="I189">
        <v>297908</v>
      </c>
      <c r="J189">
        <v>893724</v>
      </c>
      <c r="K189">
        <v>529021.91041132435</v>
      </c>
      <c r="L189">
        <v>45792.901010159607</v>
      </c>
      <c r="M189">
        <v>847931.09898984036</v>
      </c>
      <c r="N189">
        <v>318909.18857851601</v>
      </c>
    </row>
    <row r="190" spans="1:14" x14ac:dyDescent="0.25">
      <c r="A190" t="s">
        <v>198</v>
      </c>
      <c r="B190">
        <v>45575</v>
      </c>
      <c r="C190" t="s">
        <v>613</v>
      </c>
      <c r="D190" t="s">
        <v>619</v>
      </c>
      <c r="E190" t="s">
        <v>621</v>
      </c>
      <c r="F190" t="s">
        <v>628</v>
      </c>
      <c r="G190" t="s">
        <v>631</v>
      </c>
      <c r="H190">
        <v>6</v>
      </c>
      <c r="I190">
        <v>356969</v>
      </c>
      <c r="J190">
        <v>2141814</v>
      </c>
      <c r="K190">
        <v>1096774.5463371649</v>
      </c>
      <c r="L190">
        <v>94518.705722539118</v>
      </c>
      <c r="M190">
        <v>2047295.294277461</v>
      </c>
      <c r="N190">
        <v>950520.74794029607</v>
      </c>
    </row>
    <row r="191" spans="1:14" x14ac:dyDescent="0.25">
      <c r="A191" t="s">
        <v>199</v>
      </c>
      <c r="B191">
        <v>45244</v>
      </c>
      <c r="C191" t="s">
        <v>617</v>
      </c>
      <c r="D191" t="s">
        <v>618</v>
      </c>
      <c r="E191" t="s">
        <v>620</v>
      </c>
      <c r="F191" t="s">
        <v>628</v>
      </c>
      <c r="G191" t="s">
        <v>632</v>
      </c>
      <c r="H191">
        <v>8</v>
      </c>
      <c r="I191">
        <v>323493</v>
      </c>
      <c r="J191">
        <v>2587944</v>
      </c>
      <c r="K191">
        <v>1750758.7800540079</v>
      </c>
      <c r="L191">
        <v>71492.10472610881</v>
      </c>
      <c r="M191">
        <v>2516451.8952738908</v>
      </c>
      <c r="N191">
        <v>765693.11521988292</v>
      </c>
    </row>
    <row r="192" spans="1:14" x14ac:dyDescent="0.25">
      <c r="A192" t="s">
        <v>200</v>
      </c>
      <c r="B192">
        <v>45603</v>
      </c>
      <c r="C192" t="s">
        <v>615</v>
      </c>
      <c r="D192" t="s">
        <v>618</v>
      </c>
      <c r="E192" t="s">
        <v>623</v>
      </c>
      <c r="F192" t="s">
        <v>626</v>
      </c>
      <c r="G192" t="s">
        <v>632</v>
      </c>
      <c r="H192">
        <v>4</v>
      </c>
      <c r="I192">
        <v>242003</v>
      </c>
      <c r="J192">
        <v>968012</v>
      </c>
      <c r="K192">
        <v>599494.98561525112</v>
      </c>
      <c r="L192">
        <v>166326.0981486614</v>
      </c>
      <c r="M192">
        <v>801685.90185133857</v>
      </c>
      <c r="N192">
        <v>202190.91623608745</v>
      </c>
    </row>
    <row r="193" spans="1:14" x14ac:dyDescent="0.25">
      <c r="A193" t="s">
        <v>201</v>
      </c>
      <c r="B193">
        <v>45151</v>
      </c>
      <c r="C193" t="s">
        <v>616</v>
      </c>
      <c r="D193" t="s">
        <v>618</v>
      </c>
      <c r="E193" t="s">
        <v>620</v>
      </c>
      <c r="F193" t="s">
        <v>626</v>
      </c>
      <c r="G193" t="s">
        <v>633</v>
      </c>
      <c r="H193">
        <v>8</v>
      </c>
      <c r="I193">
        <v>356398</v>
      </c>
      <c r="J193">
        <v>2851184</v>
      </c>
      <c r="K193">
        <v>2258537.2473271871</v>
      </c>
      <c r="L193">
        <v>285151.62153469591</v>
      </c>
      <c r="M193">
        <v>2566032.3784653042</v>
      </c>
      <c r="N193">
        <v>307495.13113811705</v>
      </c>
    </row>
    <row r="194" spans="1:14" x14ac:dyDescent="0.25">
      <c r="A194" t="s">
        <v>202</v>
      </c>
      <c r="B194">
        <v>45160</v>
      </c>
      <c r="C194" t="s">
        <v>616</v>
      </c>
      <c r="D194" t="s">
        <v>618</v>
      </c>
      <c r="E194" t="s">
        <v>624</v>
      </c>
      <c r="F194" t="s">
        <v>630</v>
      </c>
      <c r="G194" t="s">
        <v>633</v>
      </c>
      <c r="H194">
        <v>2</v>
      </c>
      <c r="I194">
        <v>350369</v>
      </c>
      <c r="J194">
        <v>700738</v>
      </c>
      <c r="K194">
        <v>464771.20470965578</v>
      </c>
      <c r="L194">
        <v>94584.662664352465</v>
      </c>
      <c r="M194">
        <v>606153.33733564755</v>
      </c>
      <c r="N194">
        <v>141382.13262599177</v>
      </c>
    </row>
    <row r="195" spans="1:14" x14ac:dyDescent="0.25">
      <c r="A195" t="s">
        <v>203</v>
      </c>
      <c r="B195">
        <v>45610</v>
      </c>
      <c r="C195" t="s">
        <v>614</v>
      </c>
      <c r="D195" t="s">
        <v>619</v>
      </c>
      <c r="E195" t="s">
        <v>621</v>
      </c>
      <c r="F195" t="s">
        <v>626</v>
      </c>
      <c r="G195" t="s">
        <v>632</v>
      </c>
      <c r="H195">
        <v>9</v>
      </c>
      <c r="I195">
        <v>324597</v>
      </c>
      <c r="J195">
        <v>2921373</v>
      </c>
      <c r="K195">
        <v>1701909.3936070891</v>
      </c>
      <c r="L195">
        <v>139680.41592888441</v>
      </c>
      <c r="M195">
        <v>2781692.5840711161</v>
      </c>
      <c r="N195">
        <v>1079783.190464027</v>
      </c>
    </row>
    <row r="196" spans="1:14" x14ac:dyDescent="0.25">
      <c r="A196" t="s">
        <v>204</v>
      </c>
      <c r="B196">
        <v>45590</v>
      </c>
      <c r="C196" t="s">
        <v>613</v>
      </c>
      <c r="D196" t="s">
        <v>618</v>
      </c>
      <c r="E196" t="s">
        <v>623</v>
      </c>
      <c r="F196" t="s">
        <v>625</v>
      </c>
      <c r="G196" t="s">
        <v>633</v>
      </c>
      <c r="H196">
        <v>9</v>
      </c>
      <c r="I196">
        <v>199886</v>
      </c>
      <c r="J196">
        <v>1798974</v>
      </c>
      <c r="K196">
        <v>1282365.621619812</v>
      </c>
      <c r="L196">
        <v>272739.00166964647</v>
      </c>
      <c r="M196">
        <v>1526234.998330354</v>
      </c>
      <c r="N196">
        <v>243869.37671054201</v>
      </c>
    </row>
    <row r="197" spans="1:14" x14ac:dyDescent="0.25">
      <c r="A197" t="s">
        <v>205</v>
      </c>
      <c r="B197">
        <v>45300</v>
      </c>
      <c r="C197" t="s">
        <v>615</v>
      </c>
      <c r="D197" t="s">
        <v>619</v>
      </c>
      <c r="E197" t="s">
        <v>622</v>
      </c>
      <c r="F197" t="s">
        <v>627</v>
      </c>
      <c r="G197" t="s">
        <v>632</v>
      </c>
      <c r="H197">
        <v>8</v>
      </c>
      <c r="I197">
        <v>199335</v>
      </c>
      <c r="J197">
        <v>1594680</v>
      </c>
      <c r="K197">
        <v>927222.85998444329</v>
      </c>
      <c r="L197">
        <v>242393.12848803191</v>
      </c>
      <c r="M197">
        <v>1352286.8715119681</v>
      </c>
      <c r="N197">
        <v>425064.0115275248</v>
      </c>
    </row>
    <row r="198" spans="1:14" x14ac:dyDescent="0.25">
      <c r="A198" t="s">
        <v>206</v>
      </c>
      <c r="B198">
        <v>45598</v>
      </c>
      <c r="C198" t="s">
        <v>613</v>
      </c>
      <c r="D198" t="s">
        <v>618</v>
      </c>
      <c r="E198" t="s">
        <v>623</v>
      </c>
      <c r="F198" t="s">
        <v>627</v>
      </c>
      <c r="G198" t="s">
        <v>633</v>
      </c>
      <c r="H198">
        <v>1</v>
      </c>
      <c r="I198">
        <v>127694</v>
      </c>
      <c r="J198">
        <v>127694</v>
      </c>
      <c r="K198">
        <v>98486.932855899286</v>
      </c>
      <c r="L198">
        <v>7983.3784385280951</v>
      </c>
      <c r="M198">
        <v>119710.6215614719</v>
      </c>
      <c r="N198">
        <v>21223.688705572611</v>
      </c>
    </row>
    <row r="199" spans="1:14" x14ac:dyDescent="0.25">
      <c r="A199" t="s">
        <v>207</v>
      </c>
      <c r="B199">
        <v>45534</v>
      </c>
      <c r="C199" t="s">
        <v>615</v>
      </c>
      <c r="D199" t="s">
        <v>619</v>
      </c>
      <c r="E199" t="s">
        <v>622</v>
      </c>
      <c r="F199" t="s">
        <v>627</v>
      </c>
      <c r="G199" t="s">
        <v>631</v>
      </c>
      <c r="H199">
        <v>2</v>
      </c>
      <c r="I199">
        <v>65735</v>
      </c>
      <c r="J199">
        <v>131470</v>
      </c>
      <c r="K199">
        <v>80514.409238781431</v>
      </c>
      <c r="L199">
        <v>10798.48915237238</v>
      </c>
      <c r="M199">
        <v>120671.51084762759</v>
      </c>
      <c r="N199">
        <v>40157.101608846162</v>
      </c>
    </row>
    <row r="200" spans="1:14" x14ac:dyDescent="0.25">
      <c r="A200" t="s">
        <v>208</v>
      </c>
      <c r="B200">
        <v>45398</v>
      </c>
      <c r="C200" t="s">
        <v>614</v>
      </c>
      <c r="D200" t="s">
        <v>619</v>
      </c>
      <c r="E200" t="s">
        <v>623</v>
      </c>
      <c r="F200" t="s">
        <v>630</v>
      </c>
      <c r="G200" t="s">
        <v>633</v>
      </c>
      <c r="H200">
        <v>6</v>
      </c>
      <c r="I200">
        <v>459046</v>
      </c>
      <c r="J200">
        <v>2754276</v>
      </c>
      <c r="K200">
        <v>1831484.9356826991</v>
      </c>
      <c r="L200">
        <v>115508.9797118688</v>
      </c>
      <c r="M200">
        <v>2638767.0202881312</v>
      </c>
      <c r="N200">
        <v>807282.08460543212</v>
      </c>
    </row>
    <row r="201" spans="1:14" x14ac:dyDescent="0.25">
      <c r="A201" t="s">
        <v>209</v>
      </c>
      <c r="B201">
        <v>45159</v>
      </c>
      <c r="C201" t="s">
        <v>614</v>
      </c>
      <c r="D201" t="s">
        <v>618</v>
      </c>
      <c r="E201" t="s">
        <v>620</v>
      </c>
      <c r="F201" t="s">
        <v>630</v>
      </c>
      <c r="G201" t="s">
        <v>631</v>
      </c>
      <c r="H201">
        <v>5</v>
      </c>
      <c r="I201">
        <v>360037</v>
      </c>
      <c r="J201">
        <v>1800185</v>
      </c>
      <c r="K201">
        <v>927404.78287234588</v>
      </c>
      <c r="L201">
        <v>351598.10115410847</v>
      </c>
      <c r="M201">
        <v>1448586.898845891</v>
      </c>
      <c r="N201">
        <v>521182.11597354512</v>
      </c>
    </row>
    <row r="202" spans="1:14" x14ac:dyDescent="0.25">
      <c r="A202" t="s">
        <v>210</v>
      </c>
      <c r="B202">
        <v>45618</v>
      </c>
      <c r="C202" t="s">
        <v>616</v>
      </c>
      <c r="D202" t="s">
        <v>619</v>
      </c>
      <c r="E202" t="s">
        <v>620</v>
      </c>
      <c r="F202" t="s">
        <v>629</v>
      </c>
      <c r="G202" t="s">
        <v>631</v>
      </c>
      <c r="H202">
        <v>9</v>
      </c>
      <c r="I202">
        <v>225745</v>
      </c>
      <c r="J202">
        <v>2031705</v>
      </c>
      <c r="K202">
        <v>1275578.2949261209</v>
      </c>
      <c r="L202">
        <v>262334.796764492</v>
      </c>
      <c r="M202">
        <v>1769370.2032355079</v>
      </c>
      <c r="N202">
        <v>493791.90830938704</v>
      </c>
    </row>
    <row r="203" spans="1:14" x14ac:dyDescent="0.25">
      <c r="A203" t="s">
        <v>211</v>
      </c>
      <c r="B203">
        <v>45039</v>
      </c>
      <c r="C203" t="s">
        <v>613</v>
      </c>
      <c r="D203" t="s">
        <v>619</v>
      </c>
      <c r="E203" t="s">
        <v>620</v>
      </c>
      <c r="F203" t="s">
        <v>627</v>
      </c>
      <c r="G203" t="s">
        <v>631</v>
      </c>
      <c r="H203">
        <v>5</v>
      </c>
      <c r="I203">
        <v>439150</v>
      </c>
      <c r="J203">
        <v>2195750</v>
      </c>
      <c r="K203">
        <v>1646173.672663189</v>
      </c>
      <c r="L203">
        <v>410404.94521621859</v>
      </c>
      <c r="M203">
        <v>1785345.0547837811</v>
      </c>
      <c r="N203">
        <v>139171.38212059205</v>
      </c>
    </row>
    <row r="204" spans="1:14" x14ac:dyDescent="0.25">
      <c r="A204" t="s">
        <v>212</v>
      </c>
      <c r="B204">
        <v>45423</v>
      </c>
      <c r="C204" t="s">
        <v>616</v>
      </c>
      <c r="D204" t="s">
        <v>618</v>
      </c>
      <c r="E204" t="s">
        <v>624</v>
      </c>
      <c r="F204" t="s">
        <v>625</v>
      </c>
      <c r="G204" t="s">
        <v>631</v>
      </c>
      <c r="H204">
        <v>2</v>
      </c>
      <c r="I204">
        <v>270534</v>
      </c>
      <c r="J204">
        <v>541068</v>
      </c>
      <c r="K204">
        <v>401307.23634609987</v>
      </c>
      <c r="L204">
        <v>32830.441864065557</v>
      </c>
      <c r="M204">
        <v>508237.55813593441</v>
      </c>
      <c r="N204">
        <v>106930.32178983453</v>
      </c>
    </row>
    <row r="205" spans="1:14" x14ac:dyDescent="0.25">
      <c r="A205" t="s">
        <v>213</v>
      </c>
      <c r="B205">
        <v>45368</v>
      </c>
      <c r="C205" t="s">
        <v>613</v>
      </c>
      <c r="D205" t="s">
        <v>619</v>
      </c>
      <c r="E205" t="s">
        <v>622</v>
      </c>
      <c r="F205" t="s">
        <v>626</v>
      </c>
      <c r="G205" t="s">
        <v>633</v>
      </c>
      <c r="H205">
        <v>4</v>
      </c>
      <c r="I205">
        <v>95066</v>
      </c>
      <c r="J205">
        <v>380264</v>
      </c>
      <c r="K205">
        <v>215722.0817391632</v>
      </c>
      <c r="L205">
        <v>59464.993227969862</v>
      </c>
      <c r="M205">
        <v>320799.00677203009</v>
      </c>
      <c r="N205">
        <v>105076.92503286689</v>
      </c>
    </row>
    <row r="206" spans="1:14" x14ac:dyDescent="0.25">
      <c r="A206" t="s">
        <v>214</v>
      </c>
      <c r="B206">
        <v>45490</v>
      </c>
      <c r="C206" t="s">
        <v>616</v>
      </c>
      <c r="D206" t="s">
        <v>618</v>
      </c>
      <c r="E206" t="s">
        <v>620</v>
      </c>
      <c r="F206" t="s">
        <v>625</v>
      </c>
      <c r="G206" t="s">
        <v>632</v>
      </c>
      <c r="H206">
        <v>9</v>
      </c>
      <c r="I206">
        <v>281387</v>
      </c>
      <c r="J206">
        <v>2532483</v>
      </c>
      <c r="K206">
        <v>1438003.921197013</v>
      </c>
      <c r="L206">
        <v>387904.79920823261</v>
      </c>
      <c r="M206">
        <v>2144578.2007917669</v>
      </c>
      <c r="N206">
        <v>706574.27959475387</v>
      </c>
    </row>
    <row r="207" spans="1:14" x14ac:dyDescent="0.25">
      <c r="A207" t="s">
        <v>215</v>
      </c>
      <c r="B207">
        <v>45194</v>
      </c>
      <c r="C207" t="s">
        <v>617</v>
      </c>
      <c r="D207" t="s">
        <v>618</v>
      </c>
      <c r="E207" t="s">
        <v>624</v>
      </c>
      <c r="F207" t="s">
        <v>626</v>
      </c>
      <c r="G207" t="s">
        <v>631</v>
      </c>
      <c r="H207">
        <v>1</v>
      </c>
      <c r="I207">
        <v>184445</v>
      </c>
      <c r="J207">
        <v>184445</v>
      </c>
      <c r="K207">
        <v>137446.86349335109</v>
      </c>
      <c r="L207">
        <v>25514.485341704851</v>
      </c>
      <c r="M207">
        <v>158930.51465829511</v>
      </c>
      <c r="N207">
        <v>21483.651164944022</v>
      </c>
    </row>
    <row r="208" spans="1:14" x14ac:dyDescent="0.25">
      <c r="A208" t="s">
        <v>216</v>
      </c>
      <c r="B208">
        <v>45436</v>
      </c>
      <c r="C208" t="s">
        <v>617</v>
      </c>
      <c r="D208" t="s">
        <v>618</v>
      </c>
      <c r="E208" t="s">
        <v>622</v>
      </c>
      <c r="F208" t="s">
        <v>627</v>
      </c>
      <c r="G208" t="s">
        <v>633</v>
      </c>
      <c r="H208">
        <v>1</v>
      </c>
      <c r="I208">
        <v>453551</v>
      </c>
      <c r="J208">
        <v>453551</v>
      </c>
      <c r="K208">
        <v>353370.44015986542</v>
      </c>
      <c r="L208">
        <v>87593.304574246518</v>
      </c>
      <c r="M208">
        <v>365957.69542575348</v>
      </c>
      <c r="N208">
        <v>12587.25526588806</v>
      </c>
    </row>
    <row r="209" spans="1:14" x14ac:dyDescent="0.25">
      <c r="A209" t="s">
        <v>217</v>
      </c>
      <c r="B209">
        <v>45312</v>
      </c>
      <c r="C209" t="s">
        <v>617</v>
      </c>
      <c r="D209" t="s">
        <v>619</v>
      </c>
      <c r="E209" t="s">
        <v>623</v>
      </c>
      <c r="F209" t="s">
        <v>627</v>
      </c>
      <c r="G209" t="s">
        <v>631</v>
      </c>
      <c r="H209">
        <v>7</v>
      </c>
      <c r="I209">
        <v>466957</v>
      </c>
      <c r="J209">
        <v>3268699</v>
      </c>
      <c r="K209">
        <v>1727861.3444012441</v>
      </c>
      <c r="L209">
        <v>257282.78671507549</v>
      </c>
      <c r="M209">
        <v>3011416.2132849251</v>
      </c>
      <c r="N209">
        <v>1283554.868883681</v>
      </c>
    </row>
    <row r="210" spans="1:14" x14ac:dyDescent="0.25">
      <c r="A210" t="s">
        <v>218</v>
      </c>
      <c r="B210">
        <v>45313</v>
      </c>
      <c r="C210" t="s">
        <v>617</v>
      </c>
      <c r="D210" t="s">
        <v>619</v>
      </c>
      <c r="E210" t="s">
        <v>624</v>
      </c>
      <c r="F210" t="s">
        <v>627</v>
      </c>
      <c r="G210" t="s">
        <v>633</v>
      </c>
      <c r="H210">
        <v>3</v>
      </c>
      <c r="I210">
        <v>322836</v>
      </c>
      <c r="J210">
        <v>968508</v>
      </c>
      <c r="K210">
        <v>615019.6178260243</v>
      </c>
      <c r="L210">
        <v>25320.15472705373</v>
      </c>
      <c r="M210">
        <v>943187.84527294629</v>
      </c>
      <c r="N210">
        <v>328168.22744692198</v>
      </c>
    </row>
    <row r="211" spans="1:14" x14ac:dyDescent="0.25">
      <c r="A211" t="s">
        <v>219</v>
      </c>
      <c r="B211">
        <v>45039</v>
      </c>
      <c r="C211" t="s">
        <v>615</v>
      </c>
      <c r="D211" t="s">
        <v>619</v>
      </c>
      <c r="E211" t="s">
        <v>621</v>
      </c>
      <c r="F211" t="s">
        <v>630</v>
      </c>
      <c r="G211" t="s">
        <v>633</v>
      </c>
      <c r="H211">
        <v>2</v>
      </c>
      <c r="I211">
        <v>490511</v>
      </c>
      <c r="J211">
        <v>981022</v>
      </c>
      <c r="K211">
        <v>589826.02149741375</v>
      </c>
      <c r="L211">
        <v>131792.2337026654</v>
      </c>
      <c r="M211">
        <v>849229.76629733457</v>
      </c>
      <c r="N211">
        <v>259403.74479992082</v>
      </c>
    </row>
    <row r="212" spans="1:14" x14ac:dyDescent="0.25">
      <c r="A212" t="s">
        <v>220</v>
      </c>
      <c r="B212">
        <v>45539</v>
      </c>
      <c r="C212" t="s">
        <v>617</v>
      </c>
      <c r="D212" t="s">
        <v>618</v>
      </c>
      <c r="E212" t="s">
        <v>624</v>
      </c>
      <c r="F212" t="s">
        <v>626</v>
      </c>
      <c r="G212" t="s">
        <v>633</v>
      </c>
      <c r="H212">
        <v>9</v>
      </c>
      <c r="I212">
        <v>95541</v>
      </c>
      <c r="J212">
        <v>859869</v>
      </c>
      <c r="K212">
        <v>654537.9034517199</v>
      </c>
      <c r="L212">
        <v>125422.177765307</v>
      </c>
      <c r="M212">
        <v>734446.82223469298</v>
      </c>
      <c r="N212">
        <v>79908.91878297308</v>
      </c>
    </row>
    <row r="213" spans="1:14" x14ac:dyDescent="0.25">
      <c r="A213" t="s">
        <v>221</v>
      </c>
      <c r="B213">
        <v>45551</v>
      </c>
      <c r="C213" t="s">
        <v>614</v>
      </c>
      <c r="D213" t="s">
        <v>619</v>
      </c>
      <c r="E213" t="s">
        <v>624</v>
      </c>
      <c r="F213" t="s">
        <v>630</v>
      </c>
      <c r="G213" t="s">
        <v>632</v>
      </c>
      <c r="H213">
        <v>3</v>
      </c>
      <c r="I213">
        <v>215129</v>
      </c>
      <c r="J213">
        <v>645387</v>
      </c>
      <c r="K213">
        <v>338865.26823317801</v>
      </c>
      <c r="L213">
        <v>74227.323664572803</v>
      </c>
      <c r="M213">
        <v>571159.67633542721</v>
      </c>
      <c r="N213">
        <v>232294.4081022492</v>
      </c>
    </row>
    <row r="214" spans="1:14" x14ac:dyDescent="0.25">
      <c r="A214" t="s">
        <v>222</v>
      </c>
      <c r="B214">
        <v>45007</v>
      </c>
      <c r="C214" t="s">
        <v>614</v>
      </c>
      <c r="D214" t="s">
        <v>618</v>
      </c>
      <c r="E214" t="s">
        <v>622</v>
      </c>
      <c r="F214" t="s">
        <v>630</v>
      </c>
      <c r="G214" t="s">
        <v>633</v>
      </c>
      <c r="H214">
        <v>2</v>
      </c>
      <c r="I214">
        <v>116983</v>
      </c>
      <c r="J214">
        <v>233966</v>
      </c>
      <c r="K214">
        <v>131801.88768296011</v>
      </c>
      <c r="L214">
        <v>9677.6710369696393</v>
      </c>
      <c r="M214">
        <v>224288.32896303039</v>
      </c>
      <c r="N214">
        <v>92486.441280070285</v>
      </c>
    </row>
    <row r="215" spans="1:14" x14ac:dyDescent="0.25">
      <c r="A215" t="s">
        <v>223</v>
      </c>
      <c r="B215">
        <v>45625</v>
      </c>
      <c r="C215" t="s">
        <v>615</v>
      </c>
      <c r="D215" t="s">
        <v>618</v>
      </c>
      <c r="E215" t="s">
        <v>623</v>
      </c>
      <c r="F215" t="s">
        <v>628</v>
      </c>
      <c r="G215" t="s">
        <v>633</v>
      </c>
      <c r="H215">
        <v>8</v>
      </c>
      <c r="I215">
        <v>200655</v>
      </c>
      <c r="J215">
        <v>1605240</v>
      </c>
      <c r="K215">
        <v>1164987.682268203</v>
      </c>
      <c r="L215">
        <v>161954.57116106321</v>
      </c>
      <c r="M215">
        <v>1443285.4288389371</v>
      </c>
      <c r="N215">
        <v>278297.74657073407</v>
      </c>
    </row>
    <row r="216" spans="1:14" x14ac:dyDescent="0.25">
      <c r="A216" t="s">
        <v>224</v>
      </c>
      <c r="B216">
        <v>45039</v>
      </c>
      <c r="C216" t="s">
        <v>617</v>
      </c>
      <c r="D216" t="s">
        <v>619</v>
      </c>
      <c r="E216" t="s">
        <v>621</v>
      </c>
      <c r="F216" t="s">
        <v>625</v>
      </c>
      <c r="G216" t="s">
        <v>632</v>
      </c>
      <c r="H216">
        <v>6</v>
      </c>
      <c r="I216">
        <v>203837</v>
      </c>
      <c r="J216">
        <v>1223022</v>
      </c>
      <c r="K216">
        <v>630331.05173061136</v>
      </c>
      <c r="L216">
        <v>76362.983199649956</v>
      </c>
      <c r="M216">
        <v>1146659.01680035</v>
      </c>
      <c r="N216">
        <v>516327.96506973868</v>
      </c>
    </row>
    <row r="217" spans="1:14" x14ac:dyDescent="0.25">
      <c r="A217" t="s">
        <v>225</v>
      </c>
      <c r="B217">
        <v>44928</v>
      </c>
      <c r="C217" t="s">
        <v>617</v>
      </c>
      <c r="D217" t="s">
        <v>618</v>
      </c>
      <c r="E217" t="s">
        <v>620</v>
      </c>
      <c r="F217" t="s">
        <v>625</v>
      </c>
      <c r="G217" t="s">
        <v>632</v>
      </c>
      <c r="H217">
        <v>6</v>
      </c>
      <c r="I217">
        <v>240359</v>
      </c>
      <c r="J217">
        <v>1442154</v>
      </c>
      <c r="K217">
        <v>934170.56083159056</v>
      </c>
      <c r="L217">
        <v>123294.51269234069</v>
      </c>
      <c r="M217">
        <v>1318859.4873076589</v>
      </c>
      <c r="N217">
        <v>384688.92647606833</v>
      </c>
    </row>
    <row r="218" spans="1:14" x14ac:dyDescent="0.25">
      <c r="A218" t="s">
        <v>226</v>
      </c>
      <c r="B218">
        <v>45568</v>
      </c>
      <c r="C218" t="s">
        <v>617</v>
      </c>
      <c r="D218" t="s">
        <v>619</v>
      </c>
      <c r="E218" t="s">
        <v>620</v>
      </c>
      <c r="F218" t="s">
        <v>629</v>
      </c>
      <c r="G218" t="s">
        <v>633</v>
      </c>
      <c r="H218">
        <v>7</v>
      </c>
      <c r="I218">
        <v>467122</v>
      </c>
      <c r="J218">
        <v>3269854</v>
      </c>
      <c r="K218">
        <v>2068614.636732687</v>
      </c>
      <c r="L218">
        <v>421954.10821999563</v>
      </c>
      <c r="M218">
        <v>2847899.8917800039</v>
      </c>
      <c r="N218">
        <v>779285.2550473169</v>
      </c>
    </row>
    <row r="219" spans="1:14" x14ac:dyDescent="0.25">
      <c r="A219" t="s">
        <v>227</v>
      </c>
      <c r="B219">
        <v>45146</v>
      </c>
      <c r="C219" t="s">
        <v>616</v>
      </c>
      <c r="D219" t="s">
        <v>619</v>
      </c>
      <c r="E219" t="s">
        <v>624</v>
      </c>
      <c r="F219" t="s">
        <v>630</v>
      </c>
      <c r="G219" t="s">
        <v>632</v>
      </c>
      <c r="H219">
        <v>7</v>
      </c>
      <c r="I219">
        <v>432891</v>
      </c>
      <c r="J219">
        <v>3030237</v>
      </c>
      <c r="K219">
        <v>1819112.9476245991</v>
      </c>
      <c r="L219">
        <v>451635.45724944927</v>
      </c>
      <c r="M219">
        <v>2578601.5427505509</v>
      </c>
      <c r="N219">
        <v>759488.5951259518</v>
      </c>
    </row>
    <row r="220" spans="1:14" x14ac:dyDescent="0.25">
      <c r="A220" t="s">
        <v>228</v>
      </c>
      <c r="B220">
        <v>45492</v>
      </c>
      <c r="C220" t="s">
        <v>613</v>
      </c>
      <c r="D220" t="s">
        <v>619</v>
      </c>
      <c r="E220" t="s">
        <v>622</v>
      </c>
      <c r="F220" t="s">
        <v>626</v>
      </c>
      <c r="G220" t="s">
        <v>631</v>
      </c>
      <c r="H220">
        <v>6</v>
      </c>
      <c r="I220">
        <v>397247</v>
      </c>
      <c r="J220">
        <v>2383482</v>
      </c>
      <c r="K220">
        <v>1473877.803378294</v>
      </c>
      <c r="L220">
        <v>110700.67414378301</v>
      </c>
      <c r="M220">
        <v>2272781.3258562172</v>
      </c>
      <c r="N220">
        <v>798903.52247792319</v>
      </c>
    </row>
    <row r="221" spans="1:14" x14ac:dyDescent="0.25">
      <c r="A221" t="s">
        <v>229</v>
      </c>
      <c r="B221">
        <v>45151</v>
      </c>
      <c r="C221" t="s">
        <v>616</v>
      </c>
      <c r="D221" t="s">
        <v>619</v>
      </c>
      <c r="E221" t="s">
        <v>622</v>
      </c>
      <c r="F221" t="s">
        <v>628</v>
      </c>
      <c r="G221" t="s">
        <v>631</v>
      </c>
      <c r="H221">
        <v>4</v>
      </c>
      <c r="I221">
        <v>260747</v>
      </c>
      <c r="J221">
        <v>1042988</v>
      </c>
      <c r="K221">
        <v>687310.50186435704</v>
      </c>
      <c r="L221">
        <v>84549.897450088931</v>
      </c>
      <c r="M221">
        <v>958438.10254991101</v>
      </c>
      <c r="N221">
        <v>271127.60068555397</v>
      </c>
    </row>
    <row r="222" spans="1:14" x14ac:dyDescent="0.25">
      <c r="A222" t="s">
        <v>230</v>
      </c>
      <c r="B222">
        <v>45311</v>
      </c>
      <c r="C222" t="s">
        <v>613</v>
      </c>
      <c r="D222" t="s">
        <v>619</v>
      </c>
      <c r="E222" t="s">
        <v>620</v>
      </c>
      <c r="F222" t="s">
        <v>628</v>
      </c>
      <c r="G222" t="s">
        <v>632</v>
      </c>
      <c r="H222">
        <v>9</v>
      </c>
      <c r="I222">
        <v>227597</v>
      </c>
      <c r="J222">
        <v>2048373</v>
      </c>
      <c r="K222">
        <v>1123348.6620012261</v>
      </c>
      <c r="L222">
        <v>110268.6589313673</v>
      </c>
      <c r="M222">
        <v>1938104.3410686329</v>
      </c>
      <c r="N222">
        <v>814755.6790674068</v>
      </c>
    </row>
    <row r="223" spans="1:14" x14ac:dyDescent="0.25">
      <c r="A223" t="s">
        <v>231</v>
      </c>
      <c r="B223">
        <v>45329</v>
      </c>
      <c r="C223" t="s">
        <v>617</v>
      </c>
      <c r="D223" t="s">
        <v>618</v>
      </c>
      <c r="E223" t="s">
        <v>621</v>
      </c>
      <c r="F223" t="s">
        <v>625</v>
      </c>
      <c r="G223" t="s">
        <v>632</v>
      </c>
      <c r="H223">
        <v>6</v>
      </c>
      <c r="I223">
        <v>219302</v>
      </c>
      <c r="J223">
        <v>1315812</v>
      </c>
      <c r="K223">
        <v>883697.71217882726</v>
      </c>
      <c r="L223">
        <v>52272.37221976275</v>
      </c>
      <c r="M223">
        <v>1263539.627780237</v>
      </c>
      <c r="N223">
        <v>379841.91560140974</v>
      </c>
    </row>
    <row r="224" spans="1:14" x14ac:dyDescent="0.25">
      <c r="A224" t="s">
        <v>232</v>
      </c>
      <c r="B224">
        <v>45564</v>
      </c>
      <c r="C224" t="s">
        <v>617</v>
      </c>
      <c r="D224" t="s">
        <v>618</v>
      </c>
      <c r="E224" t="s">
        <v>623</v>
      </c>
      <c r="F224" t="s">
        <v>630</v>
      </c>
      <c r="G224" t="s">
        <v>633</v>
      </c>
      <c r="H224">
        <v>4</v>
      </c>
      <c r="I224">
        <v>462736</v>
      </c>
      <c r="J224">
        <v>1850944</v>
      </c>
      <c r="K224">
        <v>1372715.04119715</v>
      </c>
      <c r="L224">
        <v>290001.17490559543</v>
      </c>
      <c r="M224">
        <v>1560942.8250944051</v>
      </c>
      <c r="N224">
        <v>188227.78389725508</v>
      </c>
    </row>
    <row r="225" spans="1:14" x14ac:dyDescent="0.25">
      <c r="A225" t="s">
        <v>233</v>
      </c>
      <c r="B225">
        <v>45056</v>
      </c>
      <c r="C225" t="s">
        <v>616</v>
      </c>
      <c r="D225" t="s">
        <v>618</v>
      </c>
      <c r="E225" t="s">
        <v>621</v>
      </c>
      <c r="F225" t="s">
        <v>629</v>
      </c>
      <c r="G225" t="s">
        <v>632</v>
      </c>
      <c r="H225">
        <v>3</v>
      </c>
      <c r="I225">
        <v>495150</v>
      </c>
      <c r="J225">
        <v>1485450</v>
      </c>
      <c r="K225">
        <v>1081479.315947037</v>
      </c>
      <c r="L225">
        <v>270129.8829902861</v>
      </c>
      <c r="M225">
        <v>1215320.117009714</v>
      </c>
      <c r="N225">
        <v>133840.80106267706</v>
      </c>
    </row>
    <row r="226" spans="1:14" x14ac:dyDescent="0.25">
      <c r="A226" t="s">
        <v>234</v>
      </c>
      <c r="B226">
        <v>44979</v>
      </c>
      <c r="C226" t="s">
        <v>616</v>
      </c>
      <c r="D226" t="s">
        <v>619</v>
      </c>
      <c r="E226" t="s">
        <v>623</v>
      </c>
      <c r="F226" t="s">
        <v>630</v>
      </c>
      <c r="G226" t="s">
        <v>633</v>
      </c>
      <c r="H226">
        <v>4</v>
      </c>
      <c r="I226">
        <v>337710</v>
      </c>
      <c r="J226">
        <v>1350840</v>
      </c>
      <c r="K226">
        <v>737788.24417696113</v>
      </c>
      <c r="L226">
        <v>100024.8891420307</v>
      </c>
      <c r="M226">
        <v>1250815.1108579689</v>
      </c>
      <c r="N226">
        <v>513026.86668100778</v>
      </c>
    </row>
    <row r="227" spans="1:14" x14ac:dyDescent="0.25">
      <c r="A227" t="s">
        <v>235</v>
      </c>
      <c r="B227">
        <v>45610</v>
      </c>
      <c r="C227" t="s">
        <v>613</v>
      </c>
      <c r="D227" t="s">
        <v>619</v>
      </c>
      <c r="E227" t="s">
        <v>620</v>
      </c>
      <c r="F227" t="s">
        <v>627</v>
      </c>
      <c r="G227" t="s">
        <v>631</v>
      </c>
      <c r="H227">
        <v>3</v>
      </c>
      <c r="I227">
        <v>385337</v>
      </c>
      <c r="J227">
        <v>1156011</v>
      </c>
      <c r="K227">
        <v>629765.70862959337</v>
      </c>
      <c r="L227">
        <v>173697.3401288485</v>
      </c>
      <c r="M227">
        <v>982313.65987115144</v>
      </c>
      <c r="N227">
        <v>352547.95124155807</v>
      </c>
    </row>
    <row r="228" spans="1:14" x14ac:dyDescent="0.25">
      <c r="A228" t="s">
        <v>236</v>
      </c>
      <c r="B228">
        <v>45656</v>
      </c>
      <c r="C228" t="s">
        <v>614</v>
      </c>
      <c r="D228" t="s">
        <v>619</v>
      </c>
      <c r="E228" t="s">
        <v>623</v>
      </c>
      <c r="F228" t="s">
        <v>630</v>
      </c>
      <c r="G228" t="s">
        <v>632</v>
      </c>
      <c r="H228">
        <v>2</v>
      </c>
      <c r="I228">
        <v>473350</v>
      </c>
      <c r="J228">
        <v>946700</v>
      </c>
      <c r="K228">
        <v>549514.20218323288</v>
      </c>
      <c r="L228">
        <v>169837.08808825759</v>
      </c>
      <c r="M228">
        <v>776862.91191174241</v>
      </c>
      <c r="N228">
        <v>227348.70972850954</v>
      </c>
    </row>
    <row r="229" spans="1:14" x14ac:dyDescent="0.25">
      <c r="A229" t="s">
        <v>237</v>
      </c>
      <c r="B229">
        <v>45598</v>
      </c>
      <c r="C229" t="s">
        <v>613</v>
      </c>
      <c r="D229" t="s">
        <v>618</v>
      </c>
      <c r="E229" t="s">
        <v>622</v>
      </c>
      <c r="F229" t="s">
        <v>627</v>
      </c>
      <c r="G229" t="s">
        <v>633</v>
      </c>
      <c r="H229">
        <v>5</v>
      </c>
      <c r="I229">
        <v>453561</v>
      </c>
      <c r="J229">
        <v>2267805</v>
      </c>
      <c r="K229">
        <v>1379556.6209309511</v>
      </c>
      <c r="L229">
        <v>383768.94305230241</v>
      </c>
      <c r="M229">
        <v>1884036.0569476979</v>
      </c>
      <c r="N229">
        <v>504479.4360167468</v>
      </c>
    </row>
    <row r="230" spans="1:14" x14ac:dyDescent="0.25">
      <c r="A230" t="s">
        <v>238</v>
      </c>
      <c r="B230">
        <v>45636</v>
      </c>
      <c r="C230" t="s">
        <v>616</v>
      </c>
      <c r="D230" t="s">
        <v>619</v>
      </c>
      <c r="E230" t="s">
        <v>624</v>
      </c>
      <c r="F230" t="s">
        <v>627</v>
      </c>
      <c r="G230" t="s">
        <v>633</v>
      </c>
      <c r="H230">
        <v>2</v>
      </c>
      <c r="I230">
        <v>302084</v>
      </c>
      <c r="J230">
        <v>604168</v>
      </c>
      <c r="K230">
        <v>376116.73751251999</v>
      </c>
      <c r="L230">
        <v>22089.999865393409</v>
      </c>
      <c r="M230">
        <v>582078.00013460661</v>
      </c>
      <c r="N230">
        <v>205961.26262208662</v>
      </c>
    </row>
    <row r="231" spans="1:14" x14ac:dyDescent="0.25">
      <c r="A231" t="s">
        <v>239</v>
      </c>
      <c r="B231">
        <v>45342</v>
      </c>
      <c r="C231" t="s">
        <v>616</v>
      </c>
      <c r="D231" t="s">
        <v>618</v>
      </c>
      <c r="E231" t="s">
        <v>624</v>
      </c>
      <c r="F231" t="s">
        <v>629</v>
      </c>
      <c r="G231" t="s">
        <v>631</v>
      </c>
      <c r="H231">
        <v>6</v>
      </c>
      <c r="I231">
        <v>171015</v>
      </c>
      <c r="J231">
        <v>1026090</v>
      </c>
      <c r="K231">
        <v>722274.1551661581</v>
      </c>
      <c r="L231">
        <v>196248.307340409</v>
      </c>
      <c r="M231">
        <v>829841.69265959098</v>
      </c>
      <c r="N231">
        <v>107567.53749343287</v>
      </c>
    </row>
    <row r="232" spans="1:14" x14ac:dyDescent="0.25">
      <c r="A232" t="s">
        <v>240</v>
      </c>
      <c r="B232">
        <v>45173</v>
      </c>
      <c r="C232" t="s">
        <v>615</v>
      </c>
      <c r="D232" t="s">
        <v>618</v>
      </c>
      <c r="E232" t="s">
        <v>620</v>
      </c>
      <c r="F232" t="s">
        <v>626</v>
      </c>
      <c r="G232" t="s">
        <v>632</v>
      </c>
      <c r="H232">
        <v>3</v>
      </c>
      <c r="I232">
        <v>222257</v>
      </c>
      <c r="J232">
        <v>666771</v>
      </c>
      <c r="K232">
        <v>344723.3605306939</v>
      </c>
      <c r="L232">
        <v>50231.385372318633</v>
      </c>
      <c r="M232">
        <v>616539.61462768132</v>
      </c>
      <c r="N232">
        <v>271816.25409698742</v>
      </c>
    </row>
    <row r="233" spans="1:14" x14ac:dyDescent="0.25">
      <c r="A233" t="s">
        <v>241</v>
      </c>
      <c r="B233">
        <v>45365</v>
      </c>
      <c r="C233" t="s">
        <v>616</v>
      </c>
      <c r="D233" t="s">
        <v>619</v>
      </c>
      <c r="E233" t="s">
        <v>622</v>
      </c>
      <c r="F233" t="s">
        <v>625</v>
      </c>
      <c r="G233" t="s">
        <v>631</v>
      </c>
      <c r="H233">
        <v>6</v>
      </c>
      <c r="I233">
        <v>296536</v>
      </c>
      <c r="J233">
        <v>1779216</v>
      </c>
      <c r="K233">
        <v>908115.06903668551</v>
      </c>
      <c r="L233">
        <v>120716.4824422137</v>
      </c>
      <c r="M233">
        <v>1658499.5175577861</v>
      </c>
      <c r="N233">
        <v>750384.44852110057</v>
      </c>
    </row>
    <row r="234" spans="1:14" x14ac:dyDescent="0.25">
      <c r="A234" t="s">
        <v>242</v>
      </c>
      <c r="B234">
        <v>45129</v>
      </c>
      <c r="C234" t="s">
        <v>615</v>
      </c>
      <c r="D234" t="s">
        <v>619</v>
      </c>
      <c r="E234" t="s">
        <v>621</v>
      </c>
      <c r="F234" t="s">
        <v>630</v>
      </c>
      <c r="G234" t="s">
        <v>633</v>
      </c>
      <c r="H234">
        <v>9</v>
      </c>
      <c r="I234">
        <v>274021</v>
      </c>
      <c r="J234">
        <v>2466189</v>
      </c>
      <c r="K234">
        <v>1523052.1557948231</v>
      </c>
      <c r="L234">
        <v>30793.490517572369</v>
      </c>
      <c r="M234">
        <v>2435395.509482428</v>
      </c>
      <c r="N234">
        <v>912343.35368760489</v>
      </c>
    </row>
    <row r="235" spans="1:14" x14ac:dyDescent="0.25">
      <c r="A235" t="s">
        <v>243</v>
      </c>
      <c r="B235">
        <v>45110</v>
      </c>
      <c r="C235" t="s">
        <v>614</v>
      </c>
      <c r="D235" t="s">
        <v>618</v>
      </c>
      <c r="E235" t="s">
        <v>622</v>
      </c>
      <c r="F235" t="s">
        <v>627</v>
      </c>
      <c r="G235" t="s">
        <v>633</v>
      </c>
      <c r="H235">
        <v>1</v>
      </c>
      <c r="I235">
        <v>180956</v>
      </c>
      <c r="J235">
        <v>180956</v>
      </c>
      <c r="K235">
        <v>128324.7859223561</v>
      </c>
      <c r="L235">
        <v>17595.207950440639</v>
      </c>
      <c r="M235">
        <v>163360.79204955939</v>
      </c>
      <c r="N235">
        <v>35036.006127203291</v>
      </c>
    </row>
    <row r="236" spans="1:14" x14ac:dyDescent="0.25">
      <c r="A236" t="s">
        <v>244</v>
      </c>
      <c r="B236">
        <v>45049</v>
      </c>
      <c r="C236" t="s">
        <v>613</v>
      </c>
      <c r="D236" t="s">
        <v>619</v>
      </c>
      <c r="E236" t="s">
        <v>624</v>
      </c>
      <c r="F236" t="s">
        <v>630</v>
      </c>
      <c r="G236" t="s">
        <v>632</v>
      </c>
      <c r="H236">
        <v>6</v>
      </c>
      <c r="I236">
        <v>120744</v>
      </c>
      <c r="J236">
        <v>724464</v>
      </c>
      <c r="K236">
        <v>404273.08268988761</v>
      </c>
      <c r="L236">
        <v>15795.28800833796</v>
      </c>
      <c r="M236">
        <v>708668.71199166204</v>
      </c>
      <c r="N236">
        <v>304395.62930177443</v>
      </c>
    </row>
    <row r="237" spans="1:14" x14ac:dyDescent="0.25">
      <c r="A237" t="s">
        <v>245</v>
      </c>
      <c r="B237">
        <v>45327</v>
      </c>
      <c r="C237" t="s">
        <v>613</v>
      </c>
      <c r="D237" t="s">
        <v>618</v>
      </c>
      <c r="E237" t="s">
        <v>624</v>
      </c>
      <c r="F237" t="s">
        <v>626</v>
      </c>
      <c r="G237" t="s">
        <v>633</v>
      </c>
      <c r="H237">
        <v>9</v>
      </c>
      <c r="I237">
        <v>345599</v>
      </c>
      <c r="J237">
        <v>3110391</v>
      </c>
      <c r="K237">
        <v>2153794.4294877341</v>
      </c>
      <c r="L237">
        <v>154611.20443085549</v>
      </c>
      <c r="M237">
        <v>2955779.7955691451</v>
      </c>
      <c r="N237">
        <v>801985.36608141102</v>
      </c>
    </row>
    <row r="238" spans="1:14" x14ac:dyDescent="0.25">
      <c r="A238" t="s">
        <v>246</v>
      </c>
      <c r="B238">
        <v>45220</v>
      </c>
      <c r="C238" t="s">
        <v>615</v>
      </c>
      <c r="D238" t="s">
        <v>619</v>
      </c>
      <c r="E238" t="s">
        <v>622</v>
      </c>
      <c r="F238" t="s">
        <v>625</v>
      </c>
      <c r="G238" t="s">
        <v>632</v>
      </c>
      <c r="H238">
        <v>4</v>
      </c>
      <c r="I238">
        <v>471234</v>
      </c>
      <c r="J238">
        <v>1884936</v>
      </c>
      <c r="K238">
        <v>1089395.823304991</v>
      </c>
      <c r="L238">
        <v>119483.31154070651</v>
      </c>
      <c r="M238">
        <v>1765452.688459293</v>
      </c>
      <c r="N238">
        <v>676056.86515430198</v>
      </c>
    </row>
    <row r="239" spans="1:14" x14ac:dyDescent="0.25">
      <c r="A239" t="s">
        <v>247</v>
      </c>
      <c r="B239">
        <v>45206</v>
      </c>
      <c r="C239" t="s">
        <v>613</v>
      </c>
      <c r="D239" t="s">
        <v>619</v>
      </c>
      <c r="E239" t="s">
        <v>622</v>
      </c>
      <c r="F239" t="s">
        <v>626</v>
      </c>
      <c r="G239" t="s">
        <v>631</v>
      </c>
      <c r="H239">
        <v>2</v>
      </c>
      <c r="I239">
        <v>366363</v>
      </c>
      <c r="J239">
        <v>732726</v>
      </c>
      <c r="K239">
        <v>561140.49904994783</v>
      </c>
      <c r="L239">
        <v>118529.61534135359</v>
      </c>
      <c r="M239">
        <v>614196.38465864642</v>
      </c>
      <c r="N239">
        <v>53055.885608698591</v>
      </c>
    </row>
    <row r="240" spans="1:14" x14ac:dyDescent="0.25">
      <c r="A240" t="s">
        <v>248</v>
      </c>
      <c r="B240">
        <v>45536</v>
      </c>
      <c r="C240" t="s">
        <v>616</v>
      </c>
      <c r="D240" t="s">
        <v>618</v>
      </c>
      <c r="E240" t="s">
        <v>624</v>
      </c>
      <c r="F240" t="s">
        <v>625</v>
      </c>
      <c r="G240" t="s">
        <v>632</v>
      </c>
      <c r="H240">
        <v>4</v>
      </c>
      <c r="I240">
        <v>358135</v>
      </c>
      <c r="J240">
        <v>1432540</v>
      </c>
      <c r="K240">
        <v>1101203.5018279101</v>
      </c>
      <c r="L240">
        <v>250834.5022476275</v>
      </c>
      <c r="M240">
        <v>1181705.4977523719</v>
      </c>
      <c r="N240">
        <v>80501.995924461866</v>
      </c>
    </row>
    <row r="241" spans="1:14" x14ac:dyDescent="0.25">
      <c r="A241" t="s">
        <v>249</v>
      </c>
      <c r="B241">
        <v>45124</v>
      </c>
      <c r="C241" t="s">
        <v>617</v>
      </c>
      <c r="D241" t="s">
        <v>619</v>
      </c>
      <c r="E241" t="s">
        <v>621</v>
      </c>
      <c r="F241" t="s">
        <v>628</v>
      </c>
      <c r="G241" t="s">
        <v>632</v>
      </c>
      <c r="H241">
        <v>1</v>
      </c>
      <c r="I241">
        <v>123616</v>
      </c>
      <c r="J241">
        <v>123616</v>
      </c>
      <c r="K241">
        <v>72832.836513332135</v>
      </c>
      <c r="L241">
        <v>7477.9352598634077</v>
      </c>
      <c r="M241">
        <v>116138.0647401366</v>
      </c>
      <c r="N241">
        <v>43305.228226804466</v>
      </c>
    </row>
    <row r="242" spans="1:14" x14ac:dyDescent="0.25">
      <c r="A242" t="s">
        <v>250</v>
      </c>
      <c r="B242">
        <v>45437</v>
      </c>
      <c r="C242" t="s">
        <v>615</v>
      </c>
      <c r="D242" t="s">
        <v>618</v>
      </c>
      <c r="E242" t="s">
        <v>620</v>
      </c>
      <c r="F242" t="s">
        <v>625</v>
      </c>
      <c r="G242" t="s">
        <v>633</v>
      </c>
      <c r="H242">
        <v>3</v>
      </c>
      <c r="I242">
        <v>137438</v>
      </c>
      <c r="J242">
        <v>412314</v>
      </c>
      <c r="K242">
        <v>234605.8934014799</v>
      </c>
      <c r="L242">
        <v>70810.651432567058</v>
      </c>
      <c r="M242">
        <v>341503.34856743301</v>
      </c>
      <c r="N242">
        <v>106897.45516595311</v>
      </c>
    </row>
    <row r="243" spans="1:14" x14ac:dyDescent="0.25">
      <c r="A243" t="s">
        <v>251</v>
      </c>
      <c r="B243">
        <v>45070</v>
      </c>
      <c r="C243" t="s">
        <v>613</v>
      </c>
      <c r="D243" t="s">
        <v>619</v>
      </c>
      <c r="E243" t="s">
        <v>620</v>
      </c>
      <c r="F243" t="s">
        <v>629</v>
      </c>
      <c r="G243" t="s">
        <v>633</v>
      </c>
      <c r="H243">
        <v>9</v>
      </c>
      <c r="I243">
        <v>166841</v>
      </c>
      <c r="J243">
        <v>1501569</v>
      </c>
      <c r="K243">
        <v>936064.88820945576</v>
      </c>
      <c r="L243">
        <v>257438.28027908399</v>
      </c>
      <c r="M243">
        <v>1244130.7197209159</v>
      </c>
      <c r="N243">
        <v>308065.83151146013</v>
      </c>
    </row>
    <row r="244" spans="1:14" x14ac:dyDescent="0.25">
      <c r="A244" t="s">
        <v>252</v>
      </c>
      <c r="B244">
        <v>45535</v>
      </c>
      <c r="C244" t="s">
        <v>615</v>
      </c>
      <c r="D244" t="s">
        <v>618</v>
      </c>
      <c r="E244" t="s">
        <v>622</v>
      </c>
      <c r="F244" t="s">
        <v>626</v>
      </c>
      <c r="G244" t="s">
        <v>632</v>
      </c>
      <c r="H244">
        <v>5</v>
      </c>
      <c r="I244">
        <v>190558</v>
      </c>
      <c r="J244">
        <v>952790</v>
      </c>
      <c r="K244">
        <v>545147.82671313826</v>
      </c>
      <c r="L244">
        <v>145710.35580344079</v>
      </c>
      <c r="M244">
        <v>807079.64419655921</v>
      </c>
      <c r="N244">
        <v>261931.81748342095</v>
      </c>
    </row>
    <row r="245" spans="1:14" x14ac:dyDescent="0.25">
      <c r="A245" t="s">
        <v>253</v>
      </c>
      <c r="B245">
        <v>45127</v>
      </c>
      <c r="C245" t="s">
        <v>615</v>
      </c>
      <c r="D245" t="s">
        <v>618</v>
      </c>
      <c r="E245" t="s">
        <v>620</v>
      </c>
      <c r="F245" t="s">
        <v>627</v>
      </c>
      <c r="G245" t="s">
        <v>633</v>
      </c>
      <c r="H245">
        <v>6</v>
      </c>
      <c r="I245">
        <v>219934</v>
      </c>
      <c r="J245">
        <v>1319604</v>
      </c>
      <c r="K245">
        <v>925986.12274293159</v>
      </c>
      <c r="L245">
        <v>38715.891846977916</v>
      </c>
      <c r="M245">
        <v>1280888.1081530219</v>
      </c>
      <c r="N245">
        <v>354901.9854100903</v>
      </c>
    </row>
    <row r="246" spans="1:14" x14ac:dyDescent="0.25">
      <c r="A246" t="s">
        <v>254</v>
      </c>
      <c r="B246">
        <v>45050</v>
      </c>
      <c r="C246" t="s">
        <v>617</v>
      </c>
      <c r="D246" t="s">
        <v>619</v>
      </c>
      <c r="E246" t="s">
        <v>624</v>
      </c>
      <c r="F246" t="s">
        <v>628</v>
      </c>
      <c r="G246" t="s">
        <v>633</v>
      </c>
      <c r="H246">
        <v>3</v>
      </c>
      <c r="I246">
        <v>302734</v>
      </c>
      <c r="J246">
        <v>908202</v>
      </c>
      <c r="K246">
        <v>679171.07959083666</v>
      </c>
      <c r="L246">
        <v>125390.51804018721</v>
      </c>
      <c r="M246">
        <v>782811.48195981281</v>
      </c>
      <c r="N246">
        <v>103640.40236897615</v>
      </c>
    </row>
    <row r="247" spans="1:14" x14ac:dyDescent="0.25">
      <c r="A247" t="s">
        <v>255</v>
      </c>
      <c r="B247">
        <v>45113</v>
      </c>
      <c r="C247" t="s">
        <v>616</v>
      </c>
      <c r="D247" t="s">
        <v>618</v>
      </c>
      <c r="E247" t="s">
        <v>624</v>
      </c>
      <c r="F247" t="s">
        <v>629</v>
      </c>
      <c r="G247" t="s">
        <v>633</v>
      </c>
      <c r="H247">
        <v>5</v>
      </c>
      <c r="I247">
        <v>108870</v>
      </c>
      <c r="J247">
        <v>544350</v>
      </c>
      <c r="K247">
        <v>382094.3104384563</v>
      </c>
      <c r="L247">
        <v>102884.76991088651</v>
      </c>
      <c r="M247">
        <v>441465.23008911352</v>
      </c>
      <c r="N247">
        <v>59370.919650657219</v>
      </c>
    </row>
    <row r="248" spans="1:14" x14ac:dyDescent="0.25">
      <c r="A248" t="s">
        <v>256</v>
      </c>
      <c r="B248">
        <v>45252</v>
      </c>
      <c r="C248" t="s">
        <v>615</v>
      </c>
      <c r="D248" t="s">
        <v>619</v>
      </c>
      <c r="E248" t="s">
        <v>622</v>
      </c>
      <c r="F248" t="s">
        <v>630</v>
      </c>
      <c r="G248" t="s">
        <v>632</v>
      </c>
      <c r="H248">
        <v>8</v>
      </c>
      <c r="I248">
        <v>136694</v>
      </c>
      <c r="J248">
        <v>1093552</v>
      </c>
      <c r="K248">
        <v>817217.02408712625</v>
      </c>
      <c r="L248">
        <v>149278.70112735641</v>
      </c>
      <c r="M248">
        <v>944273.29887264362</v>
      </c>
      <c r="N248">
        <v>127056.27478551737</v>
      </c>
    </row>
    <row r="249" spans="1:14" x14ac:dyDescent="0.25">
      <c r="A249" t="s">
        <v>257</v>
      </c>
      <c r="B249">
        <v>45390</v>
      </c>
      <c r="C249" t="s">
        <v>613</v>
      </c>
      <c r="D249" t="s">
        <v>619</v>
      </c>
      <c r="E249" t="s">
        <v>622</v>
      </c>
      <c r="F249" t="s">
        <v>626</v>
      </c>
      <c r="G249" t="s">
        <v>633</v>
      </c>
      <c r="H249">
        <v>6</v>
      </c>
      <c r="I249">
        <v>287068</v>
      </c>
      <c r="J249">
        <v>1722408</v>
      </c>
      <c r="K249">
        <v>1066338.7428370351</v>
      </c>
      <c r="L249">
        <v>114235.9027676252</v>
      </c>
      <c r="M249">
        <v>1608172.0972323751</v>
      </c>
      <c r="N249">
        <v>541833.35439533996</v>
      </c>
    </row>
    <row r="250" spans="1:14" x14ac:dyDescent="0.25">
      <c r="A250" t="s">
        <v>258</v>
      </c>
      <c r="B250">
        <v>45275</v>
      </c>
      <c r="C250" t="s">
        <v>614</v>
      </c>
      <c r="D250" t="s">
        <v>619</v>
      </c>
      <c r="E250" t="s">
        <v>622</v>
      </c>
      <c r="F250" t="s">
        <v>627</v>
      </c>
      <c r="G250" t="s">
        <v>632</v>
      </c>
      <c r="H250">
        <v>4</v>
      </c>
      <c r="I250">
        <v>356000</v>
      </c>
      <c r="J250">
        <v>1424000</v>
      </c>
      <c r="K250">
        <v>778778.60988682532</v>
      </c>
      <c r="L250">
        <v>142564.98960430079</v>
      </c>
      <c r="M250">
        <v>1281435.0103956989</v>
      </c>
      <c r="N250">
        <v>502656.40050887363</v>
      </c>
    </row>
    <row r="251" spans="1:14" x14ac:dyDescent="0.25">
      <c r="A251" t="s">
        <v>259</v>
      </c>
      <c r="B251">
        <v>45586</v>
      </c>
      <c r="C251" t="s">
        <v>615</v>
      </c>
      <c r="D251" t="s">
        <v>618</v>
      </c>
      <c r="E251" t="s">
        <v>621</v>
      </c>
      <c r="F251" t="s">
        <v>625</v>
      </c>
      <c r="G251" t="s">
        <v>633</v>
      </c>
      <c r="H251">
        <v>2</v>
      </c>
      <c r="I251">
        <v>151407</v>
      </c>
      <c r="J251">
        <v>302814</v>
      </c>
      <c r="K251">
        <v>218445.56345557631</v>
      </c>
      <c r="L251">
        <v>39106.916655461187</v>
      </c>
      <c r="M251">
        <v>263707.08334453881</v>
      </c>
      <c r="N251">
        <v>45261.519888962503</v>
      </c>
    </row>
    <row r="252" spans="1:14" x14ac:dyDescent="0.25">
      <c r="A252" t="s">
        <v>260</v>
      </c>
      <c r="B252">
        <v>45329</v>
      </c>
      <c r="C252" t="s">
        <v>615</v>
      </c>
      <c r="D252" t="s">
        <v>618</v>
      </c>
      <c r="E252" t="s">
        <v>620</v>
      </c>
      <c r="F252" t="s">
        <v>627</v>
      </c>
      <c r="G252" t="s">
        <v>631</v>
      </c>
      <c r="H252">
        <v>9</v>
      </c>
      <c r="I252">
        <v>81379</v>
      </c>
      <c r="J252">
        <v>732411</v>
      </c>
      <c r="K252">
        <v>445410.14783556922</v>
      </c>
      <c r="L252">
        <v>74789.476725450411</v>
      </c>
      <c r="M252">
        <v>657621.52327454963</v>
      </c>
      <c r="N252">
        <v>212211.37543898041</v>
      </c>
    </row>
    <row r="253" spans="1:14" x14ac:dyDescent="0.25">
      <c r="A253" t="s">
        <v>261</v>
      </c>
      <c r="B253">
        <v>45272</v>
      </c>
      <c r="C253" t="s">
        <v>617</v>
      </c>
      <c r="D253" t="s">
        <v>619</v>
      </c>
      <c r="E253" t="s">
        <v>622</v>
      </c>
      <c r="F253" t="s">
        <v>630</v>
      </c>
      <c r="G253" t="s">
        <v>633</v>
      </c>
      <c r="H253">
        <v>1</v>
      </c>
      <c r="I253">
        <v>376873</v>
      </c>
      <c r="J253">
        <v>376873</v>
      </c>
      <c r="K253">
        <v>264331.65491497371</v>
      </c>
      <c r="L253">
        <v>9041.4050017951577</v>
      </c>
      <c r="M253">
        <v>367831.59499820479</v>
      </c>
      <c r="N253">
        <v>103499.94008323108</v>
      </c>
    </row>
    <row r="254" spans="1:14" x14ac:dyDescent="0.25">
      <c r="A254" t="s">
        <v>262</v>
      </c>
      <c r="B254">
        <v>45437</v>
      </c>
      <c r="C254" t="s">
        <v>616</v>
      </c>
      <c r="D254" t="s">
        <v>619</v>
      </c>
      <c r="E254" t="s">
        <v>623</v>
      </c>
      <c r="F254" t="s">
        <v>628</v>
      </c>
      <c r="G254" t="s">
        <v>633</v>
      </c>
      <c r="H254">
        <v>1</v>
      </c>
      <c r="I254">
        <v>471594</v>
      </c>
      <c r="J254">
        <v>471594</v>
      </c>
      <c r="K254">
        <v>274087.2177524846</v>
      </c>
      <c r="L254">
        <v>29433.50621472501</v>
      </c>
      <c r="M254">
        <v>442160.49378527497</v>
      </c>
      <c r="N254">
        <v>168073.27603279037</v>
      </c>
    </row>
    <row r="255" spans="1:14" x14ac:dyDescent="0.25">
      <c r="A255" t="s">
        <v>263</v>
      </c>
      <c r="B255">
        <v>45073</v>
      </c>
      <c r="C255" t="s">
        <v>614</v>
      </c>
      <c r="D255" t="s">
        <v>618</v>
      </c>
      <c r="E255" t="s">
        <v>623</v>
      </c>
      <c r="F255" t="s">
        <v>628</v>
      </c>
      <c r="G255" t="s">
        <v>632</v>
      </c>
      <c r="H255">
        <v>4</v>
      </c>
      <c r="I255">
        <v>286500</v>
      </c>
      <c r="J255">
        <v>1146000</v>
      </c>
      <c r="K255">
        <v>600926.74844653415</v>
      </c>
      <c r="L255">
        <v>183909.17020289259</v>
      </c>
      <c r="M255">
        <v>962090.82979710738</v>
      </c>
      <c r="N255">
        <v>361164.08135057322</v>
      </c>
    </row>
    <row r="256" spans="1:14" x14ac:dyDescent="0.25">
      <c r="A256" t="s">
        <v>264</v>
      </c>
      <c r="B256">
        <v>45074</v>
      </c>
      <c r="C256" t="s">
        <v>613</v>
      </c>
      <c r="D256" t="s">
        <v>619</v>
      </c>
      <c r="E256" t="s">
        <v>624</v>
      </c>
      <c r="F256" t="s">
        <v>626</v>
      </c>
      <c r="G256" t="s">
        <v>632</v>
      </c>
      <c r="H256">
        <v>7</v>
      </c>
      <c r="I256">
        <v>104353</v>
      </c>
      <c r="J256">
        <v>730471</v>
      </c>
      <c r="K256">
        <v>582751.16501952265</v>
      </c>
      <c r="L256">
        <v>125848.1803098877</v>
      </c>
      <c r="M256">
        <v>604622.81969011226</v>
      </c>
      <c r="N256">
        <v>21871.654670589603</v>
      </c>
    </row>
    <row r="257" spans="1:14" x14ac:dyDescent="0.25">
      <c r="A257" t="s">
        <v>265</v>
      </c>
      <c r="B257">
        <v>45637</v>
      </c>
      <c r="C257" t="s">
        <v>614</v>
      </c>
      <c r="D257" t="s">
        <v>619</v>
      </c>
      <c r="E257" t="s">
        <v>620</v>
      </c>
      <c r="F257" t="s">
        <v>628</v>
      </c>
      <c r="G257" t="s">
        <v>633</v>
      </c>
      <c r="H257">
        <v>1</v>
      </c>
      <c r="I257">
        <v>231068</v>
      </c>
      <c r="J257">
        <v>231068</v>
      </c>
      <c r="K257">
        <v>126361.95101035231</v>
      </c>
      <c r="L257">
        <v>6345.128791904277</v>
      </c>
      <c r="M257">
        <v>224722.87120809569</v>
      </c>
      <c r="N257">
        <v>98360.920197743384</v>
      </c>
    </row>
    <row r="258" spans="1:14" x14ac:dyDescent="0.25">
      <c r="A258" t="s">
        <v>266</v>
      </c>
      <c r="B258">
        <v>45415</v>
      </c>
      <c r="C258" t="s">
        <v>613</v>
      </c>
      <c r="D258" t="s">
        <v>618</v>
      </c>
      <c r="E258" t="s">
        <v>622</v>
      </c>
      <c r="F258" t="s">
        <v>626</v>
      </c>
      <c r="G258" t="s">
        <v>631</v>
      </c>
      <c r="H258">
        <v>9</v>
      </c>
      <c r="I258">
        <v>326175</v>
      </c>
      <c r="J258">
        <v>2935575</v>
      </c>
      <c r="K258">
        <v>2338262.6878063041</v>
      </c>
      <c r="L258">
        <v>559160.54813457723</v>
      </c>
      <c r="M258">
        <v>2376414.451865423</v>
      </c>
      <c r="N258">
        <v>38151.764059118927</v>
      </c>
    </row>
    <row r="259" spans="1:14" x14ac:dyDescent="0.25">
      <c r="A259" t="s">
        <v>267</v>
      </c>
      <c r="B259">
        <v>45566</v>
      </c>
      <c r="C259" t="s">
        <v>616</v>
      </c>
      <c r="D259" t="s">
        <v>619</v>
      </c>
      <c r="E259" t="s">
        <v>623</v>
      </c>
      <c r="F259" t="s">
        <v>626</v>
      </c>
      <c r="G259" t="s">
        <v>633</v>
      </c>
      <c r="H259">
        <v>4</v>
      </c>
      <c r="I259">
        <v>261144</v>
      </c>
      <c r="J259">
        <v>1044576</v>
      </c>
      <c r="K259">
        <v>828540.94885215885</v>
      </c>
      <c r="L259">
        <v>68696.042972365787</v>
      </c>
      <c r="M259">
        <v>975879.95702763426</v>
      </c>
      <c r="N259">
        <v>147339.00817547541</v>
      </c>
    </row>
    <row r="260" spans="1:14" x14ac:dyDescent="0.25">
      <c r="A260" t="s">
        <v>268</v>
      </c>
      <c r="B260">
        <v>45477</v>
      </c>
      <c r="C260" t="s">
        <v>613</v>
      </c>
      <c r="D260" t="s">
        <v>618</v>
      </c>
      <c r="E260" t="s">
        <v>620</v>
      </c>
      <c r="F260" t="s">
        <v>626</v>
      </c>
      <c r="G260" t="s">
        <v>633</v>
      </c>
      <c r="H260">
        <v>3</v>
      </c>
      <c r="I260">
        <v>115982</v>
      </c>
      <c r="J260">
        <v>347946</v>
      </c>
      <c r="K260">
        <v>256834.75019471601</v>
      </c>
      <c r="L260">
        <v>46089.883227279817</v>
      </c>
      <c r="M260">
        <v>301856.11677272018</v>
      </c>
      <c r="N260">
        <v>45021.366578004177</v>
      </c>
    </row>
    <row r="261" spans="1:14" x14ac:dyDescent="0.25">
      <c r="A261" t="s">
        <v>269</v>
      </c>
      <c r="B261">
        <v>45264</v>
      </c>
      <c r="C261" t="s">
        <v>617</v>
      </c>
      <c r="D261" t="s">
        <v>619</v>
      </c>
      <c r="E261" t="s">
        <v>624</v>
      </c>
      <c r="F261" t="s">
        <v>625</v>
      </c>
      <c r="G261" t="s">
        <v>631</v>
      </c>
      <c r="H261">
        <v>1</v>
      </c>
      <c r="I261">
        <v>86683</v>
      </c>
      <c r="J261">
        <v>86683</v>
      </c>
      <c r="K261">
        <v>60489.728186646142</v>
      </c>
      <c r="L261">
        <v>13034.091825392599</v>
      </c>
      <c r="M261">
        <v>73648.908174607408</v>
      </c>
      <c r="N261">
        <v>13159.179987961266</v>
      </c>
    </row>
    <row r="262" spans="1:14" x14ac:dyDescent="0.25">
      <c r="A262" t="s">
        <v>270</v>
      </c>
      <c r="B262">
        <v>45567</v>
      </c>
      <c r="C262" t="s">
        <v>617</v>
      </c>
      <c r="D262" t="s">
        <v>618</v>
      </c>
      <c r="E262" t="s">
        <v>621</v>
      </c>
      <c r="F262" t="s">
        <v>629</v>
      </c>
      <c r="G262" t="s">
        <v>632</v>
      </c>
      <c r="H262">
        <v>4</v>
      </c>
      <c r="I262">
        <v>164091</v>
      </c>
      <c r="J262">
        <v>656364</v>
      </c>
      <c r="K262">
        <v>441957.52401930088</v>
      </c>
      <c r="L262">
        <v>106586.455670372</v>
      </c>
      <c r="M262">
        <v>549777.544329628</v>
      </c>
      <c r="N262">
        <v>107820.02031032712</v>
      </c>
    </row>
    <row r="263" spans="1:14" x14ac:dyDescent="0.25">
      <c r="A263" t="s">
        <v>271</v>
      </c>
      <c r="B263">
        <v>45399</v>
      </c>
      <c r="C263" t="s">
        <v>617</v>
      </c>
      <c r="D263" t="s">
        <v>619</v>
      </c>
      <c r="E263" t="s">
        <v>620</v>
      </c>
      <c r="F263" t="s">
        <v>626</v>
      </c>
      <c r="G263" t="s">
        <v>633</v>
      </c>
      <c r="H263">
        <v>9</v>
      </c>
      <c r="I263">
        <v>167797</v>
      </c>
      <c r="J263">
        <v>1510173</v>
      </c>
      <c r="K263">
        <v>1147475.450726364</v>
      </c>
      <c r="L263">
        <v>285649.13301192789</v>
      </c>
      <c r="M263">
        <v>1224523.8669880719</v>
      </c>
      <c r="N263">
        <v>77048.416261707898</v>
      </c>
    </row>
    <row r="264" spans="1:14" x14ac:dyDescent="0.25">
      <c r="A264" t="s">
        <v>272</v>
      </c>
      <c r="B264">
        <v>45077</v>
      </c>
      <c r="C264" t="s">
        <v>617</v>
      </c>
      <c r="D264" t="s">
        <v>619</v>
      </c>
      <c r="E264" t="s">
        <v>620</v>
      </c>
      <c r="F264" t="s">
        <v>626</v>
      </c>
      <c r="G264" t="s">
        <v>632</v>
      </c>
      <c r="H264">
        <v>6</v>
      </c>
      <c r="I264">
        <v>460834</v>
      </c>
      <c r="J264">
        <v>2765004</v>
      </c>
      <c r="K264">
        <v>1622592.430510791</v>
      </c>
      <c r="L264">
        <v>173044.76039557741</v>
      </c>
      <c r="M264">
        <v>2591959.2396044228</v>
      </c>
      <c r="N264">
        <v>969366.8090936318</v>
      </c>
    </row>
    <row r="265" spans="1:14" x14ac:dyDescent="0.25">
      <c r="A265" t="s">
        <v>273</v>
      </c>
      <c r="B265">
        <v>45341</v>
      </c>
      <c r="C265" t="s">
        <v>614</v>
      </c>
      <c r="D265" t="s">
        <v>618</v>
      </c>
      <c r="E265" t="s">
        <v>621</v>
      </c>
      <c r="F265" t="s">
        <v>629</v>
      </c>
      <c r="G265" t="s">
        <v>632</v>
      </c>
      <c r="H265">
        <v>6</v>
      </c>
      <c r="I265">
        <v>56587</v>
      </c>
      <c r="J265">
        <v>339522</v>
      </c>
      <c r="K265">
        <v>217397.41818758711</v>
      </c>
      <c r="L265">
        <v>58296.365692450578</v>
      </c>
      <c r="M265">
        <v>281225.63430754939</v>
      </c>
      <c r="N265">
        <v>63828.216119962279</v>
      </c>
    </row>
    <row r="266" spans="1:14" x14ac:dyDescent="0.25">
      <c r="A266" t="s">
        <v>274</v>
      </c>
      <c r="B266">
        <v>45224</v>
      </c>
      <c r="C266" t="s">
        <v>616</v>
      </c>
      <c r="D266" t="s">
        <v>619</v>
      </c>
      <c r="E266" t="s">
        <v>620</v>
      </c>
      <c r="F266" t="s">
        <v>627</v>
      </c>
      <c r="G266" t="s">
        <v>631</v>
      </c>
      <c r="H266">
        <v>1</v>
      </c>
      <c r="I266">
        <v>374934</v>
      </c>
      <c r="J266">
        <v>374934</v>
      </c>
      <c r="K266">
        <v>257136.10763233801</v>
      </c>
      <c r="L266">
        <v>9874.7794905901701</v>
      </c>
      <c r="M266">
        <v>365059.22050940979</v>
      </c>
      <c r="N266">
        <v>107923.11287707178</v>
      </c>
    </row>
    <row r="267" spans="1:14" x14ac:dyDescent="0.25">
      <c r="A267" t="s">
        <v>275</v>
      </c>
      <c r="B267">
        <v>45537</v>
      </c>
      <c r="C267" t="s">
        <v>613</v>
      </c>
      <c r="D267" t="s">
        <v>618</v>
      </c>
      <c r="E267" t="s">
        <v>624</v>
      </c>
      <c r="F267" t="s">
        <v>626</v>
      </c>
      <c r="G267" t="s">
        <v>631</v>
      </c>
      <c r="H267">
        <v>2</v>
      </c>
      <c r="I267">
        <v>343624</v>
      </c>
      <c r="J267">
        <v>687248</v>
      </c>
      <c r="K267">
        <v>428400.94964810682</v>
      </c>
      <c r="L267">
        <v>96907.590561938778</v>
      </c>
      <c r="M267">
        <v>590340.40943806118</v>
      </c>
      <c r="N267">
        <v>161939.45978995436</v>
      </c>
    </row>
    <row r="268" spans="1:14" x14ac:dyDescent="0.25">
      <c r="A268" t="s">
        <v>276</v>
      </c>
      <c r="B268">
        <v>45189</v>
      </c>
      <c r="C268" t="s">
        <v>613</v>
      </c>
      <c r="D268" t="s">
        <v>619</v>
      </c>
      <c r="E268" t="s">
        <v>624</v>
      </c>
      <c r="F268" t="s">
        <v>625</v>
      </c>
      <c r="G268" t="s">
        <v>632</v>
      </c>
      <c r="H268">
        <v>6</v>
      </c>
      <c r="I268">
        <v>279602</v>
      </c>
      <c r="J268">
        <v>1677612</v>
      </c>
      <c r="K268">
        <v>1053952.9215657851</v>
      </c>
      <c r="L268">
        <v>248950.14855308339</v>
      </c>
      <c r="M268">
        <v>1428661.851446917</v>
      </c>
      <c r="N268">
        <v>374708.92988113197</v>
      </c>
    </row>
    <row r="269" spans="1:14" x14ac:dyDescent="0.25">
      <c r="A269" t="s">
        <v>277</v>
      </c>
      <c r="B269">
        <v>45070</v>
      </c>
      <c r="C269" t="s">
        <v>617</v>
      </c>
      <c r="D269" t="s">
        <v>618</v>
      </c>
      <c r="E269" t="s">
        <v>621</v>
      </c>
      <c r="F269" t="s">
        <v>628</v>
      </c>
      <c r="G269" t="s">
        <v>633</v>
      </c>
      <c r="H269">
        <v>2</v>
      </c>
      <c r="I269">
        <v>201599</v>
      </c>
      <c r="J269">
        <v>403198</v>
      </c>
      <c r="K269">
        <v>241550.0352102516</v>
      </c>
      <c r="L269">
        <v>54651.331081178003</v>
      </c>
      <c r="M269">
        <v>348546.66891882202</v>
      </c>
      <c r="N269">
        <v>106996.63370857041</v>
      </c>
    </row>
    <row r="270" spans="1:14" x14ac:dyDescent="0.25">
      <c r="A270" t="s">
        <v>278</v>
      </c>
      <c r="B270">
        <v>45272</v>
      </c>
      <c r="C270" t="s">
        <v>617</v>
      </c>
      <c r="D270" t="s">
        <v>618</v>
      </c>
      <c r="E270" t="s">
        <v>622</v>
      </c>
      <c r="F270" t="s">
        <v>628</v>
      </c>
      <c r="G270" t="s">
        <v>632</v>
      </c>
      <c r="H270">
        <v>3</v>
      </c>
      <c r="I270">
        <v>335713</v>
      </c>
      <c r="J270">
        <v>1007139</v>
      </c>
      <c r="K270">
        <v>674047.46028715407</v>
      </c>
      <c r="L270">
        <v>50823.202207284368</v>
      </c>
      <c r="M270">
        <v>956315.7977927156</v>
      </c>
      <c r="N270">
        <v>282268.33750556153</v>
      </c>
    </row>
    <row r="271" spans="1:14" x14ac:dyDescent="0.25">
      <c r="A271" t="s">
        <v>279</v>
      </c>
      <c r="B271">
        <v>45550</v>
      </c>
      <c r="C271" t="s">
        <v>615</v>
      </c>
      <c r="D271" t="s">
        <v>618</v>
      </c>
      <c r="E271" t="s">
        <v>623</v>
      </c>
      <c r="F271" t="s">
        <v>630</v>
      </c>
      <c r="G271" t="s">
        <v>633</v>
      </c>
      <c r="H271">
        <v>4</v>
      </c>
      <c r="I271">
        <v>323295</v>
      </c>
      <c r="J271">
        <v>1293180</v>
      </c>
      <c r="K271">
        <v>976573.79044157639</v>
      </c>
      <c r="L271">
        <v>225800.38737142409</v>
      </c>
      <c r="M271">
        <v>1067379.6126285761</v>
      </c>
      <c r="N271">
        <v>90805.822186999721</v>
      </c>
    </row>
    <row r="272" spans="1:14" x14ac:dyDescent="0.25">
      <c r="A272" t="s">
        <v>280</v>
      </c>
      <c r="B272">
        <v>45498</v>
      </c>
      <c r="C272" t="s">
        <v>616</v>
      </c>
      <c r="D272" t="s">
        <v>618</v>
      </c>
      <c r="E272" t="s">
        <v>622</v>
      </c>
      <c r="F272" t="s">
        <v>630</v>
      </c>
      <c r="G272" t="s">
        <v>633</v>
      </c>
      <c r="H272">
        <v>5</v>
      </c>
      <c r="I272">
        <v>240246</v>
      </c>
      <c r="J272">
        <v>1201230</v>
      </c>
      <c r="K272">
        <v>673239.58005375706</v>
      </c>
      <c r="L272">
        <v>40567.57039088392</v>
      </c>
      <c r="M272">
        <v>1160662.4296091159</v>
      </c>
      <c r="N272">
        <v>487422.84955535887</v>
      </c>
    </row>
    <row r="273" spans="1:14" x14ac:dyDescent="0.25">
      <c r="A273" t="s">
        <v>281</v>
      </c>
      <c r="B273">
        <v>44928</v>
      </c>
      <c r="C273" t="s">
        <v>614</v>
      </c>
      <c r="D273" t="s">
        <v>619</v>
      </c>
      <c r="E273" t="s">
        <v>620</v>
      </c>
      <c r="F273" t="s">
        <v>628</v>
      </c>
      <c r="G273" t="s">
        <v>631</v>
      </c>
      <c r="H273">
        <v>9</v>
      </c>
      <c r="I273">
        <v>94739</v>
      </c>
      <c r="J273">
        <v>852651</v>
      </c>
      <c r="K273">
        <v>665349.07947784825</v>
      </c>
      <c r="L273">
        <v>9146.3517250055866</v>
      </c>
      <c r="M273">
        <v>843504.64827499446</v>
      </c>
      <c r="N273">
        <v>178155.5687971462</v>
      </c>
    </row>
    <row r="274" spans="1:14" x14ac:dyDescent="0.25">
      <c r="A274" t="s">
        <v>282</v>
      </c>
      <c r="B274">
        <v>45230</v>
      </c>
      <c r="C274" t="s">
        <v>613</v>
      </c>
      <c r="D274" t="s">
        <v>619</v>
      </c>
      <c r="E274" t="s">
        <v>623</v>
      </c>
      <c r="F274" t="s">
        <v>628</v>
      </c>
      <c r="G274" t="s">
        <v>633</v>
      </c>
      <c r="H274">
        <v>4</v>
      </c>
      <c r="I274">
        <v>82954</v>
      </c>
      <c r="J274">
        <v>331816</v>
      </c>
      <c r="K274">
        <v>234503.09267483681</v>
      </c>
      <c r="L274">
        <v>47613.272664976452</v>
      </c>
      <c r="M274">
        <v>284202.72733502358</v>
      </c>
      <c r="N274">
        <v>49699.63466018677</v>
      </c>
    </row>
    <row r="275" spans="1:14" x14ac:dyDescent="0.25">
      <c r="A275" t="s">
        <v>283</v>
      </c>
      <c r="B275">
        <v>45180</v>
      </c>
      <c r="C275" t="s">
        <v>615</v>
      </c>
      <c r="D275" t="s">
        <v>618</v>
      </c>
      <c r="E275" t="s">
        <v>621</v>
      </c>
      <c r="F275" t="s">
        <v>625</v>
      </c>
      <c r="G275" t="s">
        <v>633</v>
      </c>
      <c r="H275">
        <v>9</v>
      </c>
      <c r="I275">
        <v>293935</v>
      </c>
      <c r="J275">
        <v>2645415</v>
      </c>
      <c r="K275">
        <v>1976077.2917765831</v>
      </c>
      <c r="L275">
        <v>251566.11784248051</v>
      </c>
      <c r="M275">
        <v>2393848.882157519</v>
      </c>
      <c r="N275">
        <v>417771.59038093593</v>
      </c>
    </row>
    <row r="276" spans="1:14" x14ac:dyDescent="0.25">
      <c r="A276" t="s">
        <v>284</v>
      </c>
      <c r="B276">
        <v>45578</v>
      </c>
      <c r="C276" t="s">
        <v>615</v>
      </c>
      <c r="D276" t="s">
        <v>618</v>
      </c>
      <c r="E276" t="s">
        <v>621</v>
      </c>
      <c r="F276" t="s">
        <v>629</v>
      </c>
      <c r="G276" t="s">
        <v>632</v>
      </c>
      <c r="H276">
        <v>3</v>
      </c>
      <c r="I276">
        <v>159373</v>
      </c>
      <c r="J276">
        <v>478119</v>
      </c>
      <c r="K276">
        <v>318837.10133087047</v>
      </c>
      <c r="L276">
        <v>81193.979240924455</v>
      </c>
      <c r="M276">
        <v>396925.02075907547</v>
      </c>
      <c r="N276">
        <v>78087.919428205001</v>
      </c>
    </row>
    <row r="277" spans="1:14" x14ac:dyDescent="0.25">
      <c r="A277" t="s">
        <v>285</v>
      </c>
      <c r="B277">
        <v>45379</v>
      </c>
      <c r="C277" t="s">
        <v>613</v>
      </c>
      <c r="D277" t="s">
        <v>618</v>
      </c>
      <c r="E277" t="s">
        <v>623</v>
      </c>
      <c r="F277" t="s">
        <v>630</v>
      </c>
      <c r="G277" t="s">
        <v>631</v>
      </c>
      <c r="H277">
        <v>8</v>
      </c>
      <c r="I277">
        <v>478519</v>
      </c>
      <c r="J277">
        <v>3828152</v>
      </c>
      <c r="K277">
        <v>2809308.5258769789</v>
      </c>
      <c r="L277">
        <v>293540.50646729133</v>
      </c>
      <c r="M277">
        <v>3534611.4935327088</v>
      </c>
      <c r="N277">
        <v>725302.96765572997</v>
      </c>
    </row>
    <row r="278" spans="1:14" x14ac:dyDescent="0.25">
      <c r="A278" t="s">
        <v>286</v>
      </c>
      <c r="B278">
        <v>44963</v>
      </c>
      <c r="C278" t="s">
        <v>614</v>
      </c>
      <c r="D278" t="s">
        <v>619</v>
      </c>
      <c r="E278" t="s">
        <v>624</v>
      </c>
      <c r="F278" t="s">
        <v>629</v>
      </c>
      <c r="G278" t="s">
        <v>633</v>
      </c>
      <c r="H278">
        <v>1</v>
      </c>
      <c r="I278">
        <v>84700</v>
      </c>
      <c r="J278">
        <v>84700</v>
      </c>
      <c r="K278">
        <v>42761.652096395861</v>
      </c>
      <c r="L278">
        <v>2850.6392893206562</v>
      </c>
      <c r="M278">
        <v>81849.36071067935</v>
      </c>
      <c r="N278">
        <v>39087.708614283489</v>
      </c>
    </row>
    <row r="279" spans="1:14" x14ac:dyDescent="0.25">
      <c r="A279" t="s">
        <v>287</v>
      </c>
      <c r="B279">
        <v>45086</v>
      </c>
      <c r="C279" t="s">
        <v>615</v>
      </c>
      <c r="D279" t="s">
        <v>619</v>
      </c>
      <c r="E279" t="s">
        <v>623</v>
      </c>
      <c r="F279" t="s">
        <v>625</v>
      </c>
      <c r="G279" t="s">
        <v>633</v>
      </c>
      <c r="H279">
        <v>9</v>
      </c>
      <c r="I279">
        <v>173728</v>
      </c>
      <c r="J279">
        <v>1563552</v>
      </c>
      <c r="K279">
        <v>1165650.104977468</v>
      </c>
      <c r="L279">
        <v>261564.17258412999</v>
      </c>
      <c r="M279">
        <v>1301987.82741587</v>
      </c>
      <c r="N279">
        <v>136337.72243840201</v>
      </c>
    </row>
    <row r="280" spans="1:14" x14ac:dyDescent="0.25">
      <c r="A280" t="s">
        <v>288</v>
      </c>
      <c r="B280">
        <v>44935</v>
      </c>
      <c r="C280" t="s">
        <v>615</v>
      </c>
      <c r="D280" t="s">
        <v>619</v>
      </c>
      <c r="E280" t="s">
        <v>620</v>
      </c>
      <c r="F280" t="s">
        <v>628</v>
      </c>
      <c r="G280" t="s">
        <v>631</v>
      </c>
      <c r="H280">
        <v>9</v>
      </c>
      <c r="I280">
        <v>378932</v>
      </c>
      <c r="J280">
        <v>3410388</v>
      </c>
      <c r="K280">
        <v>1746260.725007528</v>
      </c>
      <c r="L280">
        <v>374398.96416594408</v>
      </c>
      <c r="M280">
        <v>3035989.0358340559</v>
      </c>
      <c r="N280">
        <v>1289728.3108265279</v>
      </c>
    </row>
    <row r="281" spans="1:14" x14ac:dyDescent="0.25">
      <c r="A281" t="s">
        <v>289</v>
      </c>
      <c r="B281">
        <v>45159</v>
      </c>
      <c r="C281" t="s">
        <v>616</v>
      </c>
      <c r="D281" t="s">
        <v>619</v>
      </c>
      <c r="E281" t="s">
        <v>624</v>
      </c>
      <c r="F281" t="s">
        <v>626</v>
      </c>
      <c r="G281" t="s">
        <v>632</v>
      </c>
      <c r="H281">
        <v>2</v>
      </c>
      <c r="I281">
        <v>121045</v>
      </c>
      <c r="J281">
        <v>242090</v>
      </c>
      <c r="K281">
        <v>185676.73878510561</v>
      </c>
      <c r="L281">
        <v>9160.481875956204</v>
      </c>
      <c r="M281">
        <v>232929.5181240438</v>
      </c>
      <c r="N281">
        <v>47252.779338938184</v>
      </c>
    </row>
    <row r="282" spans="1:14" x14ac:dyDescent="0.25">
      <c r="A282" t="s">
        <v>290</v>
      </c>
      <c r="B282">
        <v>45025</v>
      </c>
      <c r="C282" t="s">
        <v>614</v>
      </c>
      <c r="D282" t="s">
        <v>618</v>
      </c>
      <c r="E282" t="s">
        <v>621</v>
      </c>
      <c r="F282" t="s">
        <v>629</v>
      </c>
      <c r="G282" t="s">
        <v>631</v>
      </c>
      <c r="H282">
        <v>4</v>
      </c>
      <c r="I282">
        <v>481058</v>
      </c>
      <c r="J282">
        <v>1924232</v>
      </c>
      <c r="K282">
        <v>1534745.9383133531</v>
      </c>
      <c r="L282">
        <v>277237.18847359868</v>
      </c>
      <c r="M282">
        <v>1646994.811526401</v>
      </c>
      <c r="N282">
        <v>112248.87321304786</v>
      </c>
    </row>
    <row r="283" spans="1:14" x14ac:dyDescent="0.25">
      <c r="A283" t="s">
        <v>291</v>
      </c>
      <c r="B283">
        <v>45585</v>
      </c>
      <c r="C283" t="s">
        <v>615</v>
      </c>
      <c r="D283" t="s">
        <v>618</v>
      </c>
      <c r="E283" t="s">
        <v>623</v>
      </c>
      <c r="F283" t="s">
        <v>628</v>
      </c>
      <c r="G283" t="s">
        <v>631</v>
      </c>
      <c r="H283">
        <v>8</v>
      </c>
      <c r="I283">
        <v>194972</v>
      </c>
      <c r="J283">
        <v>1559776</v>
      </c>
      <c r="K283">
        <v>917491.81096527365</v>
      </c>
      <c r="L283">
        <v>159444.55731771991</v>
      </c>
      <c r="M283">
        <v>1400331.44268228</v>
      </c>
      <c r="N283">
        <v>482839.63171700633</v>
      </c>
    </row>
    <row r="284" spans="1:14" x14ac:dyDescent="0.25">
      <c r="A284" t="s">
        <v>292</v>
      </c>
      <c r="B284">
        <v>45134</v>
      </c>
      <c r="C284" t="s">
        <v>614</v>
      </c>
      <c r="D284" t="s">
        <v>618</v>
      </c>
      <c r="E284" t="s">
        <v>622</v>
      </c>
      <c r="F284" t="s">
        <v>628</v>
      </c>
      <c r="G284" t="s">
        <v>633</v>
      </c>
      <c r="H284">
        <v>7</v>
      </c>
      <c r="I284">
        <v>440136</v>
      </c>
      <c r="J284">
        <v>3080952</v>
      </c>
      <c r="K284">
        <v>1734870.4129877491</v>
      </c>
      <c r="L284">
        <v>372371.85825185559</v>
      </c>
      <c r="M284">
        <v>2708580.1417481438</v>
      </c>
      <c r="N284">
        <v>973709.72876039473</v>
      </c>
    </row>
    <row r="285" spans="1:14" x14ac:dyDescent="0.25">
      <c r="A285" t="s">
        <v>293</v>
      </c>
      <c r="B285">
        <v>45057</v>
      </c>
      <c r="C285" t="s">
        <v>613</v>
      </c>
      <c r="D285" t="s">
        <v>619</v>
      </c>
      <c r="E285" t="s">
        <v>622</v>
      </c>
      <c r="F285" t="s">
        <v>627</v>
      </c>
      <c r="G285" t="s">
        <v>633</v>
      </c>
      <c r="H285">
        <v>1</v>
      </c>
      <c r="I285">
        <v>392203</v>
      </c>
      <c r="J285">
        <v>392203</v>
      </c>
      <c r="K285">
        <v>286154.84221856447</v>
      </c>
      <c r="L285">
        <v>36153.142187927209</v>
      </c>
      <c r="M285">
        <v>356049.85781207279</v>
      </c>
      <c r="N285">
        <v>69895.015593508317</v>
      </c>
    </row>
    <row r="286" spans="1:14" x14ac:dyDescent="0.25">
      <c r="A286" t="s">
        <v>294</v>
      </c>
      <c r="B286">
        <v>45330</v>
      </c>
      <c r="C286" t="s">
        <v>617</v>
      </c>
      <c r="D286" t="s">
        <v>619</v>
      </c>
      <c r="E286" t="s">
        <v>620</v>
      </c>
      <c r="F286" t="s">
        <v>629</v>
      </c>
      <c r="G286" t="s">
        <v>632</v>
      </c>
      <c r="H286">
        <v>5</v>
      </c>
      <c r="I286">
        <v>51881</v>
      </c>
      <c r="J286">
        <v>259405</v>
      </c>
      <c r="K286">
        <v>149393.38938992549</v>
      </c>
      <c r="L286">
        <v>42994.250789461992</v>
      </c>
      <c r="M286">
        <v>216410.74921053799</v>
      </c>
      <c r="N286">
        <v>67017.359820612503</v>
      </c>
    </row>
    <row r="287" spans="1:14" x14ac:dyDescent="0.25">
      <c r="A287" t="s">
        <v>295</v>
      </c>
      <c r="B287">
        <v>45078</v>
      </c>
      <c r="C287" t="s">
        <v>615</v>
      </c>
      <c r="D287" t="s">
        <v>619</v>
      </c>
      <c r="E287" t="s">
        <v>622</v>
      </c>
      <c r="F287" t="s">
        <v>626</v>
      </c>
      <c r="G287" t="s">
        <v>633</v>
      </c>
      <c r="H287">
        <v>7</v>
      </c>
      <c r="I287">
        <v>476253</v>
      </c>
      <c r="J287">
        <v>3333771</v>
      </c>
      <c r="K287">
        <v>2532561.531513114</v>
      </c>
      <c r="L287">
        <v>553114.42484507931</v>
      </c>
      <c r="M287">
        <v>2780656.575154921</v>
      </c>
      <c r="N287">
        <v>248095.04364180705</v>
      </c>
    </row>
    <row r="288" spans="1:14" x14ac:dyDescent="0.25">
      <c r="A288" t="s">
        <v>296</v>
      </c>
      <c r="B288">
        <v>44980</v>
      </c>
      <c r="C288" t="s">
        <v>616</v>
      </c>
      <c r="D288" t="s">
        <v>618</v>
      </c>
      <c r="E288" t="s">
        <v>623</v>
      </c>
      <c r="F288" t="s">
        <v>629</v>
      </c>
      <c r="G288" t="s">
        <v>633</v>
      </c>
      <c r="H288">
        <v>4</v>
      </c>
      <c r="I288">
        <v>444846</v>
      </c>
      <c r="J288">
        <v>1779384</v>
      </c>
      <c r="K288">
        <v>944590.93890106189</v>
      </c>
      <c r="L288">
        <v>252455.02386663269</v>
      </c>
      <c r="M288">
        <v>1526928.976133367</v>
      </c>
      <c r="N288">
        <v>582338.03723230516</v>
      </c>
    </row>
    <row r="289" spans="1:14" x14ac:dyDescent="0.25">
      <c r="A289" t="s">
        <v>297</v>
      </c>
      <c r="B289">
        <v>45046</v>
      </c>
      <c r="C289" t="s">
        <v>613</v>
      </c>
      <c r="D289" t="s">
        <v>618</v>
      </c>
      <c r="E289" t="s">
        <v>623</v>
      </c>
      <c r="F289" t="s">
        <v>628</v>
      </c>
      <c r="G289" t="s">
        <v>631</v>
      </c>
      <c r="H289">
        <v>1</v>
      </c>
      <c r="I289">
        <v>332933</v>
      </c>
      <c r="J289">
        <v>332933</v>
      </c>
      <c r="K289">
        <v>179046.89241885059</v>
      </c>
      <c r="L289">
        <v>7018.3193561472754</v>
      </c>
      <c r="M289">
        <v>325914.68064385268</v>
      </c>
      <c r="N289">
        <v>146867.78822500209</v>
      </c>
    </row>
    <row r="290" spans="1:14" x14ac:dyDescent="0.25">
      <c r="A290" t="s">
        <v>298</v>
      </c>
      <c r="B290">
        <v>45599</v>
      </c>
      <c r="C290" t="s">
        <v>614</v>
      </c>
      <c r="D290" t="s">
        <v>619</v>
      </c>
      <c r="E290" t="s">
        <v>622</v>
      </c>
      <c r="F290" t="s">
        <v>626</v>
      </c>
      <c r="G290" t="s">
        <v>633</v>
      </c>
      <c r="H290">
        <v>9</v>
      </c>
      <c r="I290">
        <v>438227</v>
      </c>
      <c r="J290">
        <v>3944043</v>
      </c>
      <c r="K290">
        <v>3130566.25105011</v>
      </c>
      <c r="L290">
        <v>661695.14041314193</v>
      </c>
      <c r="M290">
        <v>3282347.8595868582</v>
      </c>
      <c r="N290">
        <v>151781.60853674822</v>
      </c>
    </row>
    <row r="291" spans="1:14" x14ac:dyDescent="0.25">
      <c r="A291" t="s">
        <v>299</v>
      </c>
      <c r="B291">
        <v>45554</v>
      </c>
      <c r="C291" t="s">
        <v>613</v>
      </c>
      <c r="D291" t="s">
        <v>618</v>
      </c>
      <c r="E291" t="s">
        <v>623</v>
      </c>
      <c r="F291" t="s">
        <v>625</v>
      </c>
      <c r="G291" t="s">
        <v>632</v>
      </c>
      <c r="H291">
        <v>5</v>
      </c>
      <c r="I291">
        <v>138059</v>
      </c>
      <c r="J291">
        <v>690295</v>
      </c>
      <c r="K291">
        <v>484691.78668438777</v>
      </c>
      <c r="L291">
        <v>92639.381079393002</v>
      </c>
      <c r="M291">
        <v>597655.61892060703</v>
      </c>
      <c r="N291">
        <v>112963.83223621926</v>
      </c>
    </row>
    <row r="292" spans="1:14" x14ac:dyDescent="0.25">
      <c r="A292" t="s">
        <v>300</v>
      </c>
      <c r="B292">
        <v>45513</v>
      </c>
      <c r="C292" t="s">
        <v>615</v>
      </c>
      <c r="D292" t="s">
        <v>619</v>
      </c>
      <c r="E292" t="s">
        <v>620</v>
      </c>
      <c r="F292" t="s">
        <v>627</v>
      </c>
      <c r="G292" t="s">
        <v>631</v>
      </c>
      <c r="H292">
        <v>2</v>
      </c>
      <c r="I292">
        <v>264566</v>
      </c>
      <c r="J292">
        <v>529132</v>
      </c>
      <c r="K292">
        <v>399000.53925096232</v>
      </c>
      <c r="L292">
        <v>73763.558201237407</v>
      </c>
      <c r="M292">
        <v>455368.44179876259</v>
      </c>
      <c r="N292">
        <v>56367.902547800273</v>
      </c>
    </row>
    <row r="293" spans="1:14" x14ac:dyDescent="0.25">
      <c r="A293" t="s">
        <v>301</v>
      </c>
      <c r="B293">
        <v>45551</v>
      </c>
      <c r="C293" t="s">
        <v>614</v>
      </c>
      <c r="D293" t="s">
        <v>619</v>
      </c>
      <c r="E293" t="s">
        <v>624</v>
      </c>
      <c r="F293" t="s">
        <v>628</v>
      </c>
      <c r="G293" t="s">
        <v>632</v>
      </c>
      <c r="H293">
        <v>8</v>
      </c>
      <c r="I293">
        <v>358295</v>
      </c>
      <c r="J293">
        <v>2866360</v>
      </c>
      <c r="K293">
        <v>1712073.4262195891</v>
      </c>
      <c r="L293">
        <v>208087.89888400829</v>
      </c>
      <c r="M293">
        <v>2658272.1011159918</v>
      </c>
      <c r="N293">
        <v>946198.67489640275</v>
      </c>
    </row>
    <row r="294" spans="1:14" x14ac:dyDescent="0.25">
      <c r="A294" t="s">
        <v>302</v>
      </c>
      <c r="B294">
        <v>45346</v>
      </c>
      <c r="C294" t="s">
        <v>617</v>
      </c>
      <c r="D294" t="s">
        <v>618</v>
      </c>
      <c r="E294" t="s">
        <v>620</v>
      </c>
      <c r="F294" t="s">
        <v>630</v>
      </c>
      <c r="G294" t="s">
        <v>631</v>
      </c>
      <c r="H294">
        <v>2</v>
      </c>
      <c r="I294">
        <v>492136</v>
      </c>
      <c r="J294">
        <v>984272</v>
      </c>
      <c r="K294">
        <v>691889.20393244328</v>
      </c>
      <c r="L294">
        <v>173090.04945955391</v>
      </c>
      <c r="M294">
        <v>811181.95054044609</v>
      </c>
      <c r="N294">
        <v>119292.74660800281</v>
      </c>
    </row>
    <row r="295" spans="1:14" x14ac:dyDescent="0.25">
      <c r="A295" t="s">
        <v>303</v>
      </c>
      <c r="B295">
        <v>45348</v>
      </c>
      <c r="C295" t="s">
        <v>613</v>
      </c>
      <c r="D295" t="s">
        <v>619</v>
      </c>
      <c r="E295" t="s">
        <v>620</v>
      </c>
      <c r="F295" t="s">
        <v>630</v>
      </c>
      <c r="G295" t="s">
        <v>633</v>
      </c>
      <c r="H295">
        <v>3</v>
      </c>
      <c r="I295">
        <v>159388</v>
      </c>
      <c r="J295">
        <v>478164</v>
      </c>
      <c r="K295">
        <v>324325.51473395643</v>
      </c>
      <c r="L295">
        <v>69369.317170940078</v>
      </c>
      <c r="M295">
        <v>408794.68282905989</v>
      </c>
      <c r="N295">
        <v>84469.168095103465</v>
      </c>
    </row>
    <row r="296" spans="1:14" x14ac:dyDescent="0.25">
      <c r="A296" t="s">
        <v>304</v>
      </c>
      <c r="B296">
        <v>45030</v>
      </c>
      <c r="C296" t="s">
        <v>615</v>
      </c>
      <c r="D296" t="s">
        <v>618</v>
      </c>
      <c r="E296" t="s">
        <v>623</v>
      </c>
      <c r="F296" t="s">
        <v>627</v>
      </c>
      <c r="G296" t="s">
        <v>631</v>
      </c>
      <c r="H296">
        <v>1</v>
      </c>
      <c r="I296">
        <v>248303</v>
      </c>
      <c r="J296">
        <v>248303</v>
      </c>
      <c r="K296">
        <v>169080.69528306651</v>
      </c>
      <c r="L296">
        <v>5591.3101221197148</v>
      </c>
      <c r="M296">
        <v>242711.6898778803</v>
      </c>
      <c r="N296">
        <v>73630.99459481379</v>
      </c>
    </row>
    <row r="297" spans="1:14" x14ac:dyDescent="0.25">
      <c r="A297" t="s">
        <v>305</v>
      </c>
      <c r="B297">
        <v>45180</v>
      </c>
      <c r="C297" t="s">
        <v>616</v>
      </c>
      <c r="D297" t="s">
        <v>619</v>
      </c>
      <c r="E297" t="s">
        <v>624</v>
      </c>
      <c r="F297" t="s">
        <v>625</v>
      </c>
      <c r="G297" t="s">
        <v>631</v>
      </c>
      <c r="H297">
        <v>2</v>
      </c>
      <c r="I297">
        <v>315406</v>
      </c>
      <c r="J297">
        <v>630812</v>
      </c>
      <c r="K297">
        <v>444570.89975977282</v>
      </c>
      <c r="L297">
        <v>51446.255487964059</v>
      </c>
      <c r="M297">
        <v>579365.74451203598</v>
      </c>
      <c r="N297">
        <v>134794.84475226316</v>
      </c>
    </row>
    <row r="298" spans="1:14" x14ac:dyDescent="0.25">
      <c r="A298" t="s">
        <v>306</v>
      </c>
      <c r="B298">
        <v>45153</v>
      </c>
      <c r="C298" t="s">
        <v>614</v>
      </c>
      <c r="D298" t="s">
        <v>618</v>
      </c>
      <c r="E298" t="s">
        <v>623</v>
      </c>
      <c r="F298" t="s">
        <v>628</v>
      </c>
      <c r="G298" t="s">
        <v>633</v>
      </c>
      <c r="H298">
        <v>7</v>
      </c>
      <c r="I298">
        <v>379125</v>
      </c>
      <c r="J298">
        <v>2653875</v>
      </c>
      <c r="K298">
        <v>1785016.897676396</v>
      </c>
      <c r="L298">
        <v>470468.53661939432</v>
      </c>
      <c r="M298">
        <v>2183406.4633806059</v>
      </c>
      <c r="N298">
        <v>398389.56570420996</v>
      </c>
    </row>
    <row r="299" spans="1:14" x14ac:dyDescent="0.25">
      <c r="A299" t="s">
        <v>307</v>
      </c>
      <c r="B299">
        <v>45038</v>
      </c>
      <c r="C299" t="s">
        <v>613</v>
      </c>
      <c r="D299" t="s">
        <v>618</v>
      </c>
      <c r="E299" t="s">
        <v>621</v>
      </c>
      <c r="F299" t="s">
        <v>629</v>
      </c>
      <c r="G299" t="s">
        <v>633</v>
      </c>
      <c r="H299">
        <v>2</v>
      </c>
      <c r="I299">
        <v>433095</v>
      </c>
      <c r="J299">
        <v>866190</v>
      </c>
      <c r="K299">
        <v>544589.86009988282</v>
      </c>
      <c r="L299">
        <v>8176.2622086505426</v>
      </c>
      <c r="M299">
        <v>858013.73779134941</v>
      </c>
      <c r="N299">
        <v>313423.87769146659</v>
      </c>
    </row>
    <row r="300" spans="1:14" x14ac:dyDescent="0.25">
      <c r="A300" t="s">
        <v>308</v>
      </c>
      <c r="B300">
        <v>45436</v>
      </c>
      <c r="C300" t="s">
        <v>613</v>
      </c>
      <c r="D300" t="s">
        <v>618</v>
      </c>
      <c r="E300" t="s">
        <v>623</v>
      </c>
      <c r="F300" t="s">
        <v>627</v>
      </c>
      <c r="G300" t="s">
        <v>632</v>
      </c>
      <c r="H300">
        <v>6</v>
      </c>
      <c r="I300">
        <v>435243</v>
      </c>
      <c r="J300">
        <v>2611458</v>
      </c>
      <c r="K300">
        <v>1521897.15828649</v>
      </c>
      <c r="L300">
        <v>502139.82453943748</v>
      </c>
      <c r="M300">
        <v>2109318.175460563</v>
      </c>
      <c r="N300">
        <v>587421.01717407303</v>
      </c>
    </row>
    <row r="301" spans="1:14" x14ac:dyDescent="0.25">
      <c r="A301" t="s">
        <v>309</v>
      </c>
      <c r="B301">
        <v>45399</v>
      </c>
      <c r="C301" t="s">
        <v>617</v>
      </c>
      <c r="D301" t="s">
        <v>619</v>
      </c>
      <c r="E301" t="s">
        <v>623</v>
      </c>
      <c r="F301" t="s">
        <v>625</v>
      </c>
      <c r="G301" t="s">
        <v>632</v>
      </c>
      <c r="H301">
        <v>3</v>
      </c>
      <c r="I301">
        <v>131972</v>
      </c>
      <c r="J301">
        <v>395916</v>
      </c>
      <c r="K301">
        <v>289246.0938629494</v>
      </c>
      <c r="L301">
        <v>53778.265479761612</v>
      </c>
      <c r="M301">
        <v>342137.73452023842</v>
      </c>
      <c r="N301">
        <v>52891.640657289012</v>
      </c>
    </row>
    <row r="302" spans="1:14" x14ac:dyDescent="0.25">
      <c r="A302" t="s">
        <v>310</v>
      </c>
      <c r="B302">
        <v>45025</v>
      </c>
      <c r="C302" t="s">
        <v>617</v>
      </c>
      <c r="D302" t="s">
        <v>619</v>
      </c>
      <c r="E302" t="s">
        <v>623</v>
      </c>
      <c r="F302" t="s">
        <v>629</v>
      </c>
      <c r="G302" t="s">
        <v>633</v>
      </c>
      <c r="H302">
        <v>4</v>
      </c>
      <c r="I302">
        <v>387629</v>
      </c>
      <c r="J302">
        <v>1550516</v>
      </c>
      <c r="K302">
        <v>880509.70692364615</v>
      </c>
      <c r="L302">
        <v>195791.7110703396</v>
      </c>
      <c r="M302">
        <v>1354724.2889296601</v>
      </c>
      <c r="N302">
        <v>474214.58200601395</v>
      </c>
    </row>
    <row r="303" spans="1:14" x14ac:dyDescent="0.25">
      <c r="A303" t="s">
        <v>311</v>
      </c>
      <c r="B303">
        <v>45079</v>
      </c>
      <c r="C303" t="s">
        <v>616</v>
      </c>
      <c r="D303" t="s">
        <v>618</v>
      </c>
      <c r="E303" t="s">
        <v>624</v>
      </c>
      <c r="F303" t="s">
        <v>630</v>
      </c>
      <c r="G303" t="s">
        <v>633</v>
      </c>
      <c r="H303">
        <v>8</v>
      </c>
      <c r="I303">
        <v>104722</v>
      </c>
      <c r="J303">
        <v>837776</v>
      </c>
      <c r="K303">
        <v>592899.34635784617</v>
      </c>
      <c r="L303">
        <v>45333.610332696699</v>
      </c>
      <c r="M303">
        <v>792442.3896673033</v>
      </c>
      <c r="N303">
        <v>199543.04330945713</v>
      </c>
    </row>
    <row r="304" spans="1:14" x14ac:dyDescent="0.25">
      <c r="A304" t="s">
        <v>312</v>
      </c>
      <c r="B304">
        <v>45264</v>
      </c>
      <c r="C304" t="s">
        <v>616</v>
      </c>
      <c r="D304" t="s">
        <v>618</v>
      </c>
      <c r="E304" t="s">
        <v>623</v>
      </c>
      <c r="F304" t="s">
        <v>630</v>
      </c>
      <c r="G304" t="s">
        <v>633</v>
      </c>
      <c r="H304">
        <v>3</v>
      </c>
      <c r="I304">
        <v>401643</v>
      </c>
      <c r="J304">
        <v>1204929</v>
      </c>
      <c r="K304">
        <v>686809.34539860918</v>
      </c>
      <c r="L304">
        <v>59955.288242741583</v>
      </c>
      <c r="M304">
        <v>1144973.711757259</v>
      </c>
      <c r="N304">
        <v>458164.3663586498</v>
      </c>
    </row>
    <row r="305" spans="1:14" x14ac:dyDescent="0.25">
      <c r="A305" t="s">
        <v>313</v>
      </c>
      <c r="B305">
        <v>45632</v>
      </c>
      <c r="C305" t="s">
        <v>615</v>
      </c>
      <c r="D305" t="s">
        <v>619</v>
      </c>
      <c r="E305" t="s">
        <v>624</v>
      </c>
      <c r="F305" t="s">
        <v>629</v>
      </c>
      <c r="G305" t="s">
        <v>631</v>
      </c>
      <c r="H305">
        <v>6</v>
      </c>
      <c r="I305">
        <v>231890</v>
      </c>
      <c r="J305">
        <v>1391340</v>
      </c>
      <c r="K305">
        <v>956684.06359932909</v>
      </c>
      <c r="L305">
        <v>262144.65662065247</v>
      </c>
      <c r="M305">
        <v>1129195.3433793481</v>
      </c>
      <c r="N305">
        <v>172511.27978001896</v>
      </c>
    </row>
    <row r="306" spans="1:14" x14ac:dyDescent="0.25">
      <c r="A306" t="s">
        <v>314</v>
      </c>
      <c r="B306">
        <v>45089</v>
      </c>
      <c r="C306" t="s">
        <v>615</v>
      </c>
      <c r="D306" t="s">
        <v>619</v>
      </c>
      <c r="E306" t="s">
        <v>622</v>
      </c>
      <c r="F306" t="s">
        <v>627</v>
      </c>
      <c r="G306" t="s">
        <v>631</v>
      </c>
      <c r="H306">
        <v>1</v>
      </c>
      <c r="I306">
        <v>473148</v>
      </c>
      <c r="J306">
        <v>473148</v>
      </c>
      <c r="K306">
        <v>342617.57638066972</v>
      </c>
      <c r="L306">
        <v>28225.40303519334</v>
      </c>
      <c r="M306">
        <v>444922.59696480673</v>
      </c>
      <c r="N306">
        <v>102305.020584137</v>
      </c>
    </row>
    <row r="307" spans="1:14" x14ac:dyDescent="0.25">
      <c r="A307" t="s">
        <v>315</v>
      </c>
      <c r="B307">
        <v>45646</v>
      </c>
      <c r="C307" t="s">
        <v>616</v>
      </c>
      <c r="D307" t="s">
        <v>619</v>
      </c>
      <c r="E307" t="s">
        <v>621</v>
      </c>
      <c r="F307" t="s">
        <v>630</v>
      </c>
      <c r="G307" t="s">
        <v>631</v>
      </c>
      <c r="H307">
        <v>7</v>
      </c>
      <c r="I307">
        <v>319045</v>
      </c>
      <c r="J307">
        <v>2233315</v>
      </c>
      <c r="K307">
        <v>1263194.602640992</v>
      </c>
      <c r="L307">
        <v>346389.52234839852</v>
      </c>
      <c r="M307">
        <v>1886925.4776516019</v>
      </c>
      <c r="N307">
        <v>623730.87501060986</v>
      </c>
    </row>
    <row r="308" spans="1:14" x14ac:dyDescent="0.25">
      <c r="A308" t="s">
        <v>316</v>
      </c>
      <c r="B308">
        <v>45607</v>
      </c>
      <c r="C308" t="s">
        <v>616</v>
      </c>
      <c r="D308" t="s">
        <v>618</v>
      </c>
      <c r="E308" t="s">
        <v>624</v>
      </c>
      <c r="F308" t="s">
        <v>628</v>
      </c>
      <c r="G308" t="s">
        <v>633</v>
      </c>
      <c r="H308">
        <v>8</v>
      </c>
      <c r="I308">
        <v>167473</v>
      </c>
      <c r="J308">
        <v>1339784</v>
      </c>
      <c r="K308">
        <v>693985.32262035005</v>
      </c>
      <c r="L308">
        <v>105339.6590578147</v>
      </c>
      <c r="M308">
        <v>1234444.3409421849</v>
      </c>
      <c r="N308">
        <v>540459.01832183485</v>
      </c>
    </row>
    <row r="309" spans="1:14" x14ac:dyDescent="0.25">
      <c r="A309" t="s">
        <v>317</v>
      </c>
      <c r="B309">
        <v>45087</v>
      </c>
      <c r="C309" t="s">
        <v>614</v>
      </c>
      <c r="D309" t="s">
        <v>619</v>
      </c>
      <c r="E309" t="s">
        <v>622</v>
      </c>
      <c r="F309" t="s">
        <v>626</v>
      </c>
      <c r="G309" t="s">
        <v>632</v>
      </c>
      <c r="H309">
        <v>8</v>
      </c>
      <c r="I309">
        <v>320741</v>
      </c>
      <c r="J309">
        <v>2565928</v>
      </c>
      <c r="K309">
        <v>1383784.7583240671</v>
      </c>
      <c r="L309">
        <v>71463.183868090782</v>
      </c>
      <c r="M309">
        <v>2494464.8161319089</v>
      </c>
      <c r="N309">
        <v>1110680.0578078418</v>
      </c>
    </row>
    <row r="310" spans="1:14" x14ac:dyDescent="0.25">
      <c r="A310" t="s">
        <v>318</v>
      </c>
      <c r="B310">
        <v>45506</v>
      </c>
      <c r="C310" t="s">
        <v>617</v>
      </c>
      <c r="D310" t="s">
        <v>619</v>
      </c>
      <c r="E310" t="s">
        <v>624</v>
      </c>
      <c r="F310" t="s">
        <v>629</v>
      </c>
      <c r="G310" t="s">
        <v>633</v>
      </c>
      <c r="H310">
        <v>3</v>
      </c>
      <c r="I310">
        <v>441775</v>
      </c>
      <c r="J310">
        <v>1325325</v>
      </c>
      <c r="K310">
        <v>903605.3791945416</v>
      </c>
      <c r="L310">
        <v>2840.25038362032</v>
      </c>
      <c r="M310">
        <v>1322484.7496163801</v>
      </c>
      <c r="N310">
        <v>418879.37042183848</v>
      </c>
    </row>
    <row r="311" spans="1:14" x14ac:dyDescent="0.25">
      <c r="A311" t="s">
        <v>319</v>
      </c>
      <c r="B311">
        <v>45324</v>
      </c>
      <c r="C311" t="s">
        <v>615</v>
      </c>
      <c r="D311" t="s">
        <v>618</v>
      </c>
      <c r="E311" t="s">
        <v>624</v>
      </c>
      <c r="F311" t="s">
        <v>629</v>
      </c>
      <c r="G311" t="s">
        <v>631</v>
      </c>
      <c r="H311">
        <v>1</v>
      </c>
      <c r="I311">
        <v>376053</v>
      </c>
      <c r="J311">
        <v>376053</v>
      </c>
      <c r="K311">
        <v>283857.56082012202</v>
      </c>
      <c r="L311">
        <v>40933.920871319227</v>
      </c>
      <c r="M311">
        <v>335119.07912868081</v>
      </c>
      <c r="N311">
        <v>51261.518308558792</v>
      </c>
    </row>
    <row r="312" spans="1:14" x14ac:dyDescent="0.25">
      <c r="A312" t="s">
        <v>320</v>
      </c>
      <c r="B312">
        <v>45203</v>
      </c>
      <c r="C312" t="s">
        <v>617</v>
      </c>
      <c r="D312" t="s">
        <v>619</v>
      </c>
      <c r="E312" t="s">
        <v>621</v>
      </c>
      <c r="F312" t="s">
        <v>630</v>
      </c>
      <c r="G312" t="s">
        <v>631</v>
      </c>
      <c r="H312">
        <v>9</v>
      </c>
      <c r="I312">
        <v>384535</v>
      </c>
      <c r="J312">
        <v>3460815</v>
      </c>
      <c r="K312">
        <v>1777125.202165162</v>
      </c>
      <c r="L312">
        <v>675397.99438328494</v>
      </c>
      <c r="M312">
        <v>2785417.0056167152</v>
      </c>
      <c r="N312">
        <v>1008291.8034515532</v>
      </c>
    </row>
    <row r="313" spans="1:14" x14ac:dyDescent="0.25">
      <c r="A313" t="s">
        <v>321</v>
      </c>
      <c r="B313">
        <v>45430</v>
      </c>
      <c r="C313" t="s">
        <v>617</v>
      </c>
      <c r="D313" t="s">
        <v>619</v>
      </c>
      <c r="E313" t="s">
        <v>620</v>
      </c>
      <c r="F313" t="s">
        <v>627</v>
      </c>
      <c r="G313" t="s">
        <v>633</v>
      </c>
      <c r="H313">
        <v>6</v>
      </c>
      <c r="I313">
        <v>265286</v>
      </c>
      <c r="J313">
        <v>1591716</v>
      </c>
      <c r="K313">
        <v>1146426.09163102</v>
      </c>
      <c r="L313">
        <v>117511.9971730423</v>
      </c>
      <c r="M313">
        <v>1474204.002826958</v>
      </c>
      <c r="N313">
        <v>327777.91119593801</v>
      </c>
    </row>
    <row r="314" spans="1:14" x14ac:dyDescent="0.25">
      <c r="A314" t="s">
        <v>322</v>
      </c>
      <c r="B314">
        <v>45318</v>
      </c>
      <c r="C314" t="s">
        <v>616</v>
      </c>
      <c r="D314" t="s">
        <v>619</v>
      </c>
      <c r="E314" t="s">
        <v>620</v>
      </c>
      <c r="F314" t="s">
        <v>628</v>
      </c>
      <c r="G314" t="s">
        <v>633</v>
      </c>
      <c r="H314">
        <v>9</v>
      </c>
      <c r="I314">
        <v>451479</v>
      </c>
      <c r="J314">
        <v>4063311</v>
      </c>
      <c r="K314">
        <v>2447720.642578186</v>
      </c>
      <c r="L314">
        <v>290276.70796592272</v>
      </c>
      <c r="M314">
        <v>3773034.292034077</v>
      </c>
      <c r="N314">
        <v>1325313.649455891</v>
      </c>
    </row>
    <row r="315" spans="1:14" x14ac:dyDescent="0.25">
      <c r="A315" t="s">
        <v>323</v>
      </c>
      <c r="B315">
        <v>45061</v>
      </c>
      <c r="C315" t="s">
        <v>614</v>
      </c>
      <c r="D315" t="s">
        <v>618</v>
      </c>
      <c r="E315" t="s">
        <v>624</v>
      </c>
      <c r="F315" t="s">
        <v>627</v>
      </c>
      <c r="G315" t="s">
        <v>631</v>
      </c>
      <c r="H315">
        <v>7</v>
      </c>
      <c r="I315">
        <v>375437</v>
      </c>
      <c r="J315">
        <v>2628059</v>
      </c>
      <c r="K315">
        <v>1691309.736796699</v>
      </c>
      <c r="L315">
        <v>180858.61462275739</v>
      </c>
      <c r="M315">
        <v>2447200.3853772432</v>
      </c>
      <c r="N315">
        <v>755890.64858054416</v>
      </c>
    </row>
    <row r="316" spans="1:14" x14ac:dyDescent="0.25">
      <c r="A316" t="s">
        <v>324</v>
      </c>
      <c r="B316">
        <v>45121</v>
      </c>
      <c r="C316" t="s">
        <v>613</v>
      </c>
      <c r="D316" t="s">
        <v>618</v>
      </c>
      <c r="E316" t="s">
        <v>623</v>
      </c>
      <c r="F316" t="s">
        <v>625</v>
      </c>
      <c r="G316" t="s">
        <v>631</v>
      </c>
      <c r="H316">
        <v>1</v>
      </c>
      <c r="I316">
        <v>293896</v>
      </c>
      <c r="J316">
        <v>293896</v>
      </c>
      <c r="K316">
        <v>228844.4318784237</v>
      </c>
      <c r="L316">
        <v>30597.150321709742</v>
      </c>
      <c r="M316">
        <v>263298.84967829031</v>
      </c>
      <c r="N316">
        <v>34454.417799866613</v>
      </c>
    </row>
    <row r="317" spans="1:14" x14ac:dyDescent="0.25">
      <c r="A317" t="s">
        <v>325</v>
      </c>
      <c r="B317">
        <v>45327</v>
      </c>
      <c r="C317" t="s">
        <v>614</v>
      </c>
      <c r="D317" t="s">
        <v>618</v>
      </c>
      <c r="E317" t="s">
        <v>622</v>
      </c>
      <c r="F317" t="s">
        <v>625</v>
      </c>
      <c r="G317" t="s">
        <v>631</v>
      </c>
      <c r="H317">
        <v>1</v>
      </c>
      <c r="I317">
        <v>206877</v>
      </c>
      <c r="J317">
        <v>206877</v>
      </c>
      <c r="K317">
        <v>124041.6806955713</v>
      </c>
      <c r="L317">
        <v>18232.685817633519</v>
      </c>
      <c r="M317">
        <v>188644.31418236651</v>
      </c>
      <c r="N317">
        <v>64602.63348679521</v>
      </c>
    </row>
    <row r="318" spans="1:14" x14ac:dyDescent="0.25">
      <c r="A318" t="s">
        <v>326</v>
      </c>
      <c r="B318">
        <v>45566</v>
      </c>
      <c r="C318" t="s">
        <v>614</v>
      </c>
      <c r="D318" t="s">
        <v>618</v>
      </c>
      <c r="E318" t="s">
        <v>623</v>
      </c>
      <c r="F318" t="s">
        <v>626</v>
      </c>
      <c r="G318" t="s">
        <v>633</v>
      </c>
      <c r="H318">
        <v>6</v>
      </c>
      <c r="I318">
        <v>61874</v>
      </c>
      <c r="J318">
        <v>371244</v>
      </c>
      <c r="K318">
        <v>237448.0634110292</v>
      </c>
      <c r="L318">
        <v>65332.60513692876</v>
      </c>
      <c r="M318">
        <v>305911.39486307133</v>
      </c>
      <c r="N318">
        <v>68463.331452042126</v>
      </c>
    </row>
    <row r="319" spans="1:14" x14ac:dyDescent="0.25">
      <c r="A319" t="s">
        <v>327</v>
      </c>
      <c r="B319">
        <v>44959</v>
      </c>
      <c r="C319" t="s">
        <v>617</v>
      </c>
      <c r="D319" t="s">
        <v>618</v>
      </c>
      <c r="E319" t="s">
        <v>623</v>
      </c>
      <c r="F319" t="s">
        <v>630</v>
      </c>
      <c r="G319" t="s">
        <v>631</v>
      </c>
      <c r="H319">
        <v>5</v>
      </c>
      <c r="I319">
        <v>274137</v>
      </c>
      <c r="J319">
        <v>1370685</v>
      </c>
      <c r="K319">
        <v>690968.78420287324</v>
      </c>
      <c r="L319">
        <v>138581.9532807025</v>
      </c>
      <c r="M319">
        <v>1232103.046719298</v>
      </c>
      <c r="N319">
        <v>541134.26251642476</v>
      </c>
    </row>
    <row r="320" spans="1:14" x14ac:dyDescent="0.25">
      <c r="A320" t="s">
        <v>328</v>
      </c>
      <c r="B320">
        <v>45614</v>
      </c>
      <c r="C320" t="s">
        <v>614</v>
      </c>
      <c r="D320" t="s">
        <v>618</v>
      </c>
      <c r="E320" t="s">
        <v>624</v>
      </c>
      <c r="F320" t="s">
        <v>630</v>
      </c>
      <c r="G320" t="s">
        <v>631</v>
      </c>
      <c r="H320">
        <v>9</v>
      </c>
      <c r="I320">
        <v>398546</v>
      </c>
      <c r="J320">
        <v>3586914</v>
      </c>
      <c r="K320">
        <v>1881263.2773502311</v>
      </c>
      <c r="L320">
        <v>364256.73968166241</v>
      </c>
      <c r="M320">
        <v>3222657.260318337</v>
      </c>
      <c r="N320">
        <v>1341393.9829681059</v>
      </c>
    </row>
    <row r="321" spans="1:14" x14ac:dyDescent="0.25">
      <c r="A321" t="s">
        <v>329</v>
      </c>
      <c r="B321">
        <v>45386</v>
      </c>
      <c r="C321" t="s">
        <v>615</v>
      </c>
      <c r="D321" t="s">
        <v>618</v>
      </c>
      <c r="E321" t="s">
        <v>624</v>
      </c>
      <c r="F321" t="s">
        <v>630</v>
      </c>
      <c r="G321" t="s">
        <v>632</v>
      </c>
      <c r="H321">
        <v>2</v>
      </c>
      <c r="I321">
        <v>326223</v>
      </c>
      <c r="J321">
        <v>652446</v>
      </c>
      <c r="K321">
        <v>376838.11478085758</v>
      </c>
      <c r="L321">
        <v>18055.998697809649</v>
      </c>
      <c r="M321">
        <v>634390.00130219036</v>
      </c>
      <c r="N321">
        <v>257551.88652133278</v>
      </c>
    </row>
    <row r="322" spans="1:14" x14ac:dyDescent="0.25">
      <c r="A322" t="s">
        <v>330</v>
      </c>
      <c r="B322">
        <v>45396</v>
      </c>
      <c r="C322" t="s">
        <v>617</v>
      </c>
      <c r="D322" t="s">
        <v>619</v>
      </c>
      <c r="E322" t="s">
        <v>624</v>
      </c>
      <c r="F322" t="s">
        <v>626</v>
      </c>
      <c r="G322" t="s">
        <v>633</v>
      </c>
      <c r="H322">
        <v>8</v>
      </c>
      <c r="I322">
        <v>493066</v>
      </c>
      <c r="J322">
        <v>3944528</v>
      </c>
      <c r="K322">
        <v>2005223.183134441</v>
      </c>
      <c r="L322">
        <v>775288.72716563265</v>
      </c>
      <c r="M322">
        <v>3169239.2728343671</v>
      </c>
      <c r="N322">
        <v>1164016.0896999261</v>
      </c>
    </row>
    <row r="323" spans="1:14" x14ac:dyDescent="0.25">
      <c r="A323" t="s">
        <v>331</v>
      </c>
      <c r="B323">
        <v>45301</v>
      </c>
      <c r="C323" t="s">
        <v>615</v>
      </c>
      <c r="D323" t="s">
        <v>619</v>
      </c>
      <c r="E323" t="s">
        <v>624</v>
      </c>
      <c r="F323" t="s">
        <v>625</v>
      </c>
      <c r="G323" t="s">
        <v>632</v>
      </c>
      <c r="H323">
        <v>5</v>
      </c>
      <c r="I323">
        <v>384923</v>
      </c>
      <c r="J323">
        <v>1924615</v>
      </c>
      <c r="K323">
        <v>1326853.826942706</v>
      </c>
      <c r="L323">
        <v>96220.315071902529</v>
      </c>
      <c r="M323">
        <v>1828394.684928098</v>
      </c>
      <c r="N323">
        <v>501540.85798539198</v>
      </c>
    </row>
    <row r="324" spans="1:14" x14ac:dyDescent="0.25">
      <c r="A324" t="s">
        <v>332</v>
      </c>
      <c r="B324">
        <v>44948</v>
      </c>
      <c r="C324" t="s">
        <v>613</v>
      </c>
      <c r="D324" t="s">
        <v>618</v>
      </c>
      <c r="E324" t="s">
        <v>620</v>
      </c>
      <c r="F324" t="s">
        <v>627</v>
      </c>
      <c r="G324" t="s">
        <v>632</v>
      </c>
      <c r="H324">
        <v>2</v>
      </c>
      <c r="I324">
        <v>145408</v>
      </c>
      <c r="J324">
        <v>290816</v>
      </c>
      <c r="K324">
        <v>182609.0393594862</v>
      </c>
      <c r="L324">
        <v>4267.0889284663617</v>
      </c>
      <c r="M324">
        <v>286548.91107153363</v>
      </c>
      <c r="N324">
        <v>103939.87171204743</v>
      </c>
    </row>
    <row r="325" spans="1:14" x14ac:dyDescent="0.25">
      <c r="A325" t="s">
        <v>333</v>
      </c>
      <c r="B325">
        <v>45596</v>
      </c>
      <c r="C325" t="s">
        <v>617</v>
      </c>
      <c r="D325" t="s">
        <v>619</v>
      </c>
      <c r="E325" t="s">
        <v>624</v>
      </c>
      <c r="F325" t="s">
        <v>626</v>
      </c>
      <c r="G325" t="s">
        <v>631</v>
      </c>
      <c r="H325">
        <v>6</v>
      </c>
      <c r="I325">
        <v>452234</v>
      </c>
      <c r="J325">
        <v>2713404</v>
      </c>
      <c r="K325">
        <v>1802903.8156989079</v>
      </c>
      <c r="L325">
        <v>359876.73691086553</v>
      </c>
      <c r="M325">
        <v>2353527.2630891339</v>
      </c>
      <c r="N325">
        <v>550623.44739022595</v>
      </c>
    </row>
    <row r="326" spans="1:14" x14ac:dyDescent="0.25">
      <c r="A326" t="s">
        <v>334</v>
      </c>
      <c r="B326">
        <v>44964</v>
      </c>
      <c r="C326" t="s">
        <v>613</v>
      </c>
      <c r="D326" t="s">
        <v>619</v>
      </c>
      <c r="E326" t="s">
        <v>620</v>
      </c>
      <c r="F326" t="s">
        <v>626</v>
      </c>
      <c r="G326" t="s">
        <v>633</v>
      </c>
      <c r="H326">
        <v>8</v>
      </c>
      <c r="I326">
        <v>170606</v>
      </c>
      <c r="J326">
        <v>1364848</v>
      </c>
      <c r="K326">
        <v>753934.05871287</v>
      </c>
      <c r="L326">
        <v>162516.91991517349</v>
      </c>
      <c r="M326">
        <v>1202331.080084827</v>
      </c>
      <c r="N326">
        <v>448397.02137195703</v>
      </c>
    </row>
    <row r="327" spans="1:14" x14ac:dyDescent="0.25">
      <c r="A327" t="s">
        <v>335</v>
      </c>
      <c r="B327">
        <v>45156</v>
      </c>
      <c r="C327" t="s">
        <v>617</v>
      </c>
      <c r="D327" t="s">
        <v>618</v>
      </c>
      <c r="E327" t="s">
        <v>620</v>
      </c>
      <c r="F327" t="s">
        <v>627</v>
      </c>
      <c r="G327" t="s">
        <v>631</v>
      </c>
      <c r="H327">
        <v>4</v>
      </c>
      <c r="I327">
        <v>492716</v>
      </c>
      <c r="J327">
        <v>1970864</v>
      </c>
      <c r="K327">
        <v>1160404.5349790701</v>
      </c>
      <c r="L327">
        <v>163639.1248421518</v>
      </c>
      <c r="M327">
        <v>1807224.875157848</v>
      </c>
      <c r="N327">
        <v>646820.34017877793</v>
      </c>
    </row>
    <row r="328" spans="1:14" x14ac:dyDescent="0.25">
      <c r="A328" t="s">
        <v>336</v>
      </c>
      <c r="B328">
        <v>45291</v>
      </c>
      <c r="C328" t="s">
        <v>616</v>
      </c>
      <c r="D328" t="s">
        <v>619</v>
      </c>
      <c r="E328" t="s">
        <v>624</v>
      </c>
      <c r="F328" t="s">
        <v>630</v>
      </c>
      <c r="G328" t="s">
        <v>633</v>
      </c>
      <c r="H328">
        <v>2</v>
      </c>
      <c r="I328">
        <v>170062</v>
      </c>
      <c r="J328">
        <v>340124</v>
      </c>
      <c r="K328">
        <v>237796.79070544249</v>
      </c>
      <c r="L328">
        <v>28719.542271286351</v>
      </c>
      <c r="M328">
        <v>311404.45772871358</v>
      </c>
      <c r="N328">
        <v>73607.667023271089</v>
      </c>
    </row>
    <row r="329" spans="1:14" x14ac:dyDescent="0.25">
      <c r="A329" t="s">
        <v>337</v>
      </c>
      <c r="B329">
        <v>45489</v>
      </c>
      <c r="C329" t="s">
        <v>614</v>
      </c>
      <c r="D329" t="s">
        <v>619</v>
      </c>
      <c r="E329" t="s">
        <v>621</v>
      </c>
      <c r="F329" t="s">
        <v>628</v>
      </c>
      <c r="G329" t="s">
        <v>632</v>
      </c>
      <c r="H329">
        <v>5</v>
      </c>
      <c r="I329">
        <v>62100</v>
      </c>
      <c r="J329">
        <v>310500</v>
      </c>
      <c r="K329">
        <v>245167.94870617171</v>
      </c>
      <c r="L329">
        <v>48752.46949698338</v>
      </c>
      <c r="M329">
        <v>261747.53050301661</v>
      </c>
      <c r="N329">
        <v>16579.581796844897</v>
      </c>
    </row>
    <row r="330" spans="1:14" x14ac:dyDescent="0.25">
      <c r="A330" t="s">
        <v>338</v>
      </c>
      <c r="B330">
        <v>45364</v>
      </c>
      <c r="C330" t="s">
        <v>616</v>
      </c>
      <c r="D330" t="s">
        <v>619</v>
      </c>
      <c r="E330" t="s">
        <v>622</v>
      </c>
      <c r="F330" t="s">
        <v>627</v>
      </c>
      <c r="G330" t="s">
        <v>633</v>
      </c>
      <c r="H330">
        <v>2</v>
      </c>
      <c r="I330">
        <v>369165</v>
      </c>
      <c r="J330">
        <v>738330</v>
      </c>
      <c r="K330">
        <v>380332.26493611571</v>
      </c>
      <c r="L330">
        <v>28900.10271295478</v>
      </c>
      <c r="M330">
        <v>709429.89728704526</v>
      </c>
      <c r="N330">
        <v>329097.63235092955</v>
      </c>
    </row>
    <row r="331" spans="1:14" x14ac:dyDescent="0.25">
      <c r="A331" t="s">
        <v>339</v>
      </c>
      <c r="B331">
        <v>45209</v>
      </c>
      <c r="C331" t="s">
        <v>613</v>
      </c>
      <c r="D331" t="s">
        <v>619</v>
      </c>
      <c r="E331" t="s">
        <v>623</v>
      </c>
      <c r="F331" t="s">
        <v>625</v>
      </c>
      <c r="G331" t="s">
        <v>631</v>
      </c>
      <c r="H331">
        <v>2</v>
      </c>
      <c r="I331">
        <v>200872</v>
      </c>
      <c r="J331">
        <v>401744</v>
      </c>
      <c r="K331">
        <v>308183.96757930343</v>
      </c>
      <c r="L331">
        <v>65906.369873239164</v>
      </c>
      <c r="M331">
        <v>335837.63012676081</v>
      </c>
      <c r="N331">
        <v>27653.662547457381</v>
      </c>
    </row>
    <row r="332" spans="1:14" x14ac:dyDescent="0.25">
      <c r="A332" t="s">
        <v>340</v>
      </c>
      <c r="B332">
        <v>44953</v>
      </c>
      <c r="C332" t="s">
        <v>614</v>
      </c>
      <c r="D332" t="s">
        <v>619</v>
      </c>
      <c r="E332" t="s">
        <v>620</v>
      </c>
      <c r="F332" t="s">
        <v>629</v>
      </c>
      <c r="G332" t="s">
        <v>631</v>
      </c>
      <c r="H332">
        <v>6</v>
      </c>
      <c r="I332">
        <v>440270</v>
      </c>
      <c r="J332">
        <v>2641620</v>
      </c>
      <c r="K332">
        <v>1777980.275702314</v>
      </c>
      <c r="L332">
        <v>342748.6702014716</v>
      </c>
      <c r="M332">
        <v>2298871.329798528</v>
      </c>
      <c r="N332">
        <v>520891.05409621401</v>
      </c>
    </row>
    <row r="333" spans="1:14" x14ac:dyDescent="0.25">
      <c r="A333" t="s">
        <v>341</v>
      </c>
      <c r="B333">
        <v>45152</v>
      </c>
      <c r="C333" t="s">
        <v>617</v>
      </c>
      <c r="D333" t="s">
        <v>618</v>
      </c>
      <c r="E333" t="s">
        <v>622</v>
      </c>
      <c r="F333" t="s">
        <v>629</v>
      </c>
      <c r="G333" t="s">
        <v>631</v>
      </c>
      <c r="H333">
        <v>9</v>
      </c>
      <c r="I333">
        <v>244472</v>
      </c>
      <c r="J333">
        <v>2200248</v>
      </c>
      <c r="K333">
        <v>1472352.869674478</v>
      </c>
      <c r="L333">
        <v>184367.4813637702</v>
      </c>
      <c r="M333">
        <v>2015880.5186362299</v>
      </c>
      <c r="N333">
        <v>543527.64896175195</v>
      </c>
    </row>
    <row r="334" spans="1:14" x14ac:dyDescent="0.25">
      <c r="A334" t="s">
        <v>342</v>
      </c>
      <c r="B334">
        <v>45203</v>
      </c>
      <c r="C334" t="s">
        <v>614</v>
      </c>
      <c r="D334" t="s">
        <v>618</v>
      </c>
      <c r="E334" t="s">
        <v>621</v>
      </c>
      <c r="F334" t="s">
        <v>626</v>
      </c>
      <c r="G334" t="s">
        <v>633</v>
      </c>
      <c r="H334">
        <v>4</v>
      </c>
      <c r="I334">
        <v>404590</v>
      </c>
      <c r="J334">
        <v>1618360</v>
      </c>
      <c r="K334">
        <v>1052069.2310716489</v>
      </c>
      <c r="L334">
        <v>148251.03838693391</v>
      </c>
      <c r="M334">
        <v>1470108.961613066</v>
      </c>
      <c r="N334">
        <v>418039.73054141714</v>
      </c>
    </row>
    <row r="335" spans="1:14" x14ac:dyDescent="0.25">
      <c r="A335" t="s">
        <v>343</v>
      </c>
      <c r="B335">
        <v>45535</v>
      </c>
      <c r="C335" t="s">
        <v>615</v>
      </c>
      <c r="D335" t="s">
        <v>618</v>
      </c>
      <c r="E335" t="s">
        <v>623</v>
      </c>
      <c r="F335" t="s">
        <v>629</v>
      </c>
      <c r="G335" t="s">
        <v>632</v>
      </c>
      <c r="H335">
        <v>6</v>
      </c>
      <c r="I335">
        <v>341581</v>
      </c>
      <c r="J335">
        <v>2049486</v>
      </c>
      <c r="K335">
        <v>1067409.662263026</v>
      </c>
      <c r="L335">
        <v>105198.9716134005</v>
      </c>
      <c r="M335">
        <v>1944287.0283865989</v>
      </c>
      <c r="N335">
        <v>876877.36612357292</v>
      </c>
    </row>
    <row r="336" spans="1:14" x14ac:dyDescent="0.25">
      <c r="A336" t="s">
        <v>344</v>
      </c>
      <c r="B336">
        <v>45210</v>
      </c>
      <c r="C336" t="s">
        <v>614</v>
      </c>
      <c r="D336" t="s">
        <v>619</v>
      </c>
      <c r="E336" t="s">
        <v>623</v>
      </c>
      <c r="F336" t="s">
        <v>628</v>
      </c>
      <c r="G336" t="s">
        <v>632</v>
      </c>
      <c r="H336">
        <v>7</v>
      </c>
      <c r="I336">
        <v>284196</v>
      </c>
      <c r="J336">
        <v>1989372</v>
      </c>
      <c r="K336">
        <v>1048325.547687621</v>
      </c>
      <c r="L336">
        <v>299247.03885320917</v>
      </c>
      <c r="M336">
        <v>1690124.961146791</v>
      </c>
      <c r="N336">
        <v>641799.41345917003</v>
      </c>
    </row>
    <row r="337" spans="1:14" x14ac:dyDescent="0.25">
      <c r="A337" t="s">
        <v>345</v>
      </c>
      <c r="B337">
        <v>45407</v>
      </c>
      <c r="C337" t="s">
        <v>615</v>
      </c>
      <c r="D337" t="s">
        <v>618</v>
      </c>
      <c r="E337" t="s">
        <v>620</v>
      </c>
      <c r="F337" t="s">
        <v>630</v>
      </c>
      <c r="G337" t="s">
        <v>633</v>
      </c>
      <c r="H337">
        <v>6</v>
      </c>
      <c r="I337">
        <v>257609</v>
      </c>
      <c r="J337">
        <v>1545654</v>
      </c>
      <c r="K337">
        <v>1051467.613558497</v>
      </c>
      <c r="L337">
        <v>158545.37938862131</v>
      </c>
      <c r="M337">
        <v>1387108.6206113789</v>
      </c>
      <c r="N337">
        <v>335641.00705288188</v>
      </c>
    </row>
    <row r="338" spans="1:14" x14ac:dyDescent="0.25">
      <c r="A338" t="s">
        <v>346</v>
      </c>
      <c r="B338">
        <v>45379</v>
      </c>
      <c r="C338" t="s">
        <v>614</v>
      </c>
      <c r="D338" t="s">
        <v>619</v>
      </c>
      <c r="E338" t="s">
        <v>624</v>
      </c>
      <c r="F338" t="s">
        <v>625</v>
      </c>
      <c r="G338" t="s">
        <v>631</v>
      </c>
      <c r="H338">
        <v>8</v>
      </c>
      <c r="I338">
        <v>489891</v>
      </c>
      <c r="J338">
        <v>3919128</v>
      </c>
      <c r="K338">
        <v>2360442.0852459292</v>
      </c>
      <c r="L338">
        <v>251494.0044836218</v>
      </c>
      <c r="M338">
        <v>3667633.995516378</v>
      </c>
      <c r="N338">
        <v>1307191.9102704488</v>
      </c>
    </row>
    <row r="339" spans="1:14" x14ac:dyDescent="0.25">
      <c r="A339" t="s">
        <v>347</v>
      </c>
      <c r="B339">
        <v>45585</v>
      </c>
      <c r="C339" t="s">
        <v>615</v>
      </c>
      <c r="D339" t="s">
        <v>619</v>
      </c>
      <c r="E339" t="s">
        <v>621</v>
      </c>
      <c r="F339" t="s">
        <v>628</v>
      </c>
      <c r="G339" t="s">
        <v>632</v>
      </c>
      <c r="H339">
        <v>4</v>
      </c>
      <c r="I339">
        <v>201014</v>
      </c>
      <c r="J339">
        <v>804056</v>
      </c>
      <c r="K339">
        <v>623288.46776205511</v>
      </c>
      <c r="L339">
        <v>95851.534375657327</v>
      </c>
      <c r="M339">
        <v>708204.46562434267</v>
      </c>
      <c r="N339">
        <v>84915.997862287564</v>
      </c>
    </row>
    <row r="340" spans="1:14" x14ac:dyDescent="0.25">
      <c r="A340" t="s">
        <v>348</v>
      </c>
      <c r="B340">
        <v>45442</v>
      </c>
      <c r="C340" t="s">
        <v>613</v>
      </c>
      <c r="D340" t="s">
        <v>619</v>
      </c>
      <c r="E340" t="s">
        <v>620</v>
      </c>
      <c r="F340" t="s">
        <v>625</v>
      </c>
      <c r="G340" t="s">
        <v>631</v>
      </c>
      <c r="H340">
        <v>1</v>
      </c>
      <c r="I340">
        <v>333006</v>
      </c>
      <c r="J340">
        <v>333006</v>
      </c>
      <c r="K340">
        <v>207122.12654517859</v>
      </c>
      <c r="L340">
        <v>66317.109387960576</v>
      </c>
      <c r="M340">
        <v>266688.89061203942</v>
      </c>
      <c r="N340">
        <v>59566.764066860836</v>
      </c>
    </row>
    <row r="341" spans="1:14" x14ac:dyDescent="0.25">
      <c r="A341" t="s">
        <v>349</v>
      </c>
      <c r="B341">
        <v>45473</v>
      </c>
      <c r="C341" t="s">
        <v>616</v>
      </c>
      <c r="D341" t="s">
        <v>619</v>
      </c>
      <c r="E341" t="s">
        <v>621</v>
      </c>
      <c r="F341" t="s">
        <v>625</v>
      </c>
      <c r="G341" t="s">
        <v>633</v>
      </c>
      <c r="H341">
        <v>7</v>
      </c>
      <c r="I341">
        <v>323813</v>
      </c>
      <c r="J341">
        <v>2266691</v>
      </c>
      <c r="K341">
        <v>1230777.937872444</v>
      </c>
      <c r="L341">
        <v>197321.0183873988</v>
      </c>
      <c r="M341">
        <v>2069369.9816126011</v>
      </c>
      <c r="N341">
        <v>838592.04374015704</v>
      </c>
    </row>
    <row r="342" spans="1:14" x14ac:dyDescent="0.25">
      <c r="A342" t="s">
        <v>350</v>
      </c>
      <c r="B342">
        <v>45118</v>
      </c>
      <c r="C342" t="s">
        <v>617</v>
      </c>
      <c r="D342" t="s">
        <v>618</v>
      </c>
      <c r="E342" t="s">
        <v>624</v>
      </c>
      <c r="F342" t="s">
        <v>630</v>
      </c>
      <c r="G342" t="s">
        <v>631</v>
      </c>
      <c r="H342">
        <v>3</v>
      </c>
      <c r="I342">
        <v>433363</v>
      </c>
      <c r="J342">
        <v>1300089</v>
      </c>
      <c r="K342">
        <v>928803.9280586486</v>
      </c>
      <c r="L342">
        <v>239396.15250937501</v>
      </c>
      <c r="M342">
        <v>1060692.847490625</v>
      </c>
      <c r="N342">
        <v>131888.91943197639</v>
      </c>
    </row>
    <row r="343" spans="1:14" x14ac:dyDescent="0.25">
      <c r="A343" t="s">
        <v>351</v>
      </c>
      <c r="B343">
        <v>44975</v>
      </c>
      <c r="C343" t="s">
        <v>614</v>
      </c>
      <c r="D343" t="s">
        <v>618</v>
      </c>
      <c r="E343" t="s">
        <v>624</v>
      </c>
      <c r="F343" t="s">
        <v>626</v>
      </c>
      <c r="G343" t="s">
        <v>632</v>
      </c>
      <c r="H343">
        <v>6</v>
      </c>
      <c r="I343">
        <v>234844</v>
      </c>
      <c r="J343">
        <v>1409064</v>
      </c>
      <c r="K343">
        <v>828538.12362880644</v>
      </c>
      <c r="L343">
        <v>97230.161706293773</v>
      </c>
      <c r="M343">
        <v>1311833.8382937061</v>
      </c>
      <c r="N343">
        <v>483295.71466489963</v>
      </c>
    </row>
    <row r="344" spans="1:14" x14ac:dyDescent="0.25">
      <c r="A344" t="s">
        <v>352</v>
      </c>
      <c r="B344">
        <v>45438</v>
      </c>
      <c r="C344" t="s">
        <v>616</v>
      </c>
      <c r="D344" t="s">
        <v>619</v>
      </c>
      <c r="E344" t="s">
        <v>620</v>
      </c>
      <c r="F344" t="s">
        <v>629</v>
      </c>
      <c r="G344" t="s">
        <v>632</v>
      </c>
      <c r="H344">
        <v>2</v>
      </c>
      <c r="I344">
        <v>328060</v>
      </c>
      <c r="J344">
        <v>656120</v>
      </c>
      <c r="K344">
        <v>431491.47341870458</v>
      </c>
      <c r="L344">
        <v>7182.2447335243478</v>
      </c>
      <c r="M344">
        <v>648937.75526647561</v>
      </c>
      <c r="N344">
        <v>217446.28184777102</v>
      </c>
    </row>
    <row r="345" spans="1:14" x14ac:dyDescent="0.25">
      <c r="A345" t="s">
        <v>353</v>
      </c>
      <c r="B345">
        <v>44943</v>
      </c>
      <c r="C345" t="s">
        <v>617</v>
      </c>
      <c r="D345" t="s">
        <v>618</v>
      </c>
      <c r="E345" t="s">
        <v>624</v>
      </c>
      <c r="F345" t="s">
        <v>630</v>
      </c>
      <c r="G345" t="s">
        <v>631</v>
      </c>
      <c r="H345">
        <v>9</v>
      </c>
      <c r="I345">
        <v>323022</v>
      </c>
      <c r="J345">
        <v>2907198</v>
      </c>
      <c r="K345">
        <v>2062220.4235065179</v>
      </c>
      <c r="L345">
        <v>118754.4486300167</v>
      </c>
      <c r="M345">
        <v>2788443.5513699828</v>
      </c>
      <c r="N345">
        <v>726223.12786346488</v>
      </c>
    </row>
    <row r="346" spans="1:14" x14ac:dyDescent="0.25">
      <c r="A346" t="s">
        <v>354</v>
      </c>
      <c r="B346">
        <v>45098</v>
      </c>
      <c r="C346" t="s">
        <v>617</v>
      </c>
      <c r="D346" t="s">
        <v>619</v>
      </c>
      <c r="E346" t="s">
        <v>622</v>
      </c>
      <c r="F346" t="s">
        <v>628</v>
      </c>
      <c r="G346" t="s">
        <v>633</v>
      </c>
      <c r="H346">
        <v>1</v>
      </c>
      <c r="I346">
        <v>315129</v>
      </c>
      <c r="J346">
        <v>315129</v>
      </c>
      <c r="K346">
        <v>242674.29872969919</v>
      </c>
      <c r="L346">
        <v>26388.59636434196</v>
      </c>
      <c r="M346">
        <v>288740.40363565797</v>
      </c>
      <c r="N346">
        <v>46066.104905958782</v>
      </c>
    </row>
    <row r="347" spans="1:14" x14ac:dyDescent="0.25">
      <c r="A347" t="s">
        <v>355</v>
      </c>
      <c r="B347">
        <v>45146</v>
      </c>
      <c r="C347" t="s">
        <v>615</v>
      </c>
      <c r="D347" t="s">
        <v>618</v>
      </c>
      <c r="E347" t="s">
        <v>623</v>
      </c>
      <c r="F347" t="s">
        <v>626</v>
      </c>
      <c r="G347" t="s">
        <v>631</v>
      </c>
      <c r="H347">
        <v>6</v>
      </c>
      <c r="I347">
        <v>254720</v>
      </c>
      <c r="J347">
        <v>1528320</v>
      </c>
      <c r="K347">
        <v>1127376.4940517889</v>
      </c>
      <c r="L347">
        <v>67134.490813930344</v>
      </c>
      <c r="M347">
        <v>1461185.5091860699</v>
      </c>
      <c r="N347">
        <v>333809.01513428101</v>
      </c>
    </row>
    <row r="348" spans="1:14" x14ac:dyDescent="0.25">
      <c r="A348" t="s">
        <v>356</v>
      </c>
      <c r="B348">
        <v>45084</v>
      </c>
      <c r="C348" t="s">
        <v>613</v>
      </c>
      <c r="D348" t="s">
        <v>618</v>
      </c>
      <c r="E348" t="s">
        <v>620</v>
      </c>
      <c r="F348" t="s">
        <v>628</v>
      </c>
      <c r="G348" t="s">
        <v>633</v>
      </c>
      <c r="H348">
        <v>6</v>
      </c>
      <c r="I348">
        <v>91235</v>
      </c>
      <c r="J348">
        <v>547410</v>
      </c>
      <c r="K348">
        <v>384779.0436492624</v>
      </c>
      <c r="L348">
        <v>24.856598211052759</v>
      </c>
      <c r="M348">
        <v>547385.1434017889</v>
      </c>
      <c r="N348">
        <v>162606.0997525265</v>
      </c>
    </row>
    <row r="353" spans="1:14" x14ac:dyDescent="0.25">
      <c r="A353" t="s">
        <v>357</v>
      </c>
      <c r="B353">
        <v>45403</v>
      </c>
      <c r="C353" t="s">
        <v>613</v>
      </c>
      <c r="D353" t="s">
        <v>619</v>
      </c>
      <c r="E353" t="s">
        <v>621</v>
      </c>
      <c r="F353" t="s">
        <v>626</v>
      </c>
      <c r="G353" t="s">
        <v>631</v>
      </c>
      <c r="H353">
        <v>5</v>
      </c>
      <c r="I353">
        <v>331075</v>
      </c>
      <c r="J353">
        <v>1655375</v>
      </c>
      <c r="K353">
        <v>1165201.833792208</v>
      </c>
      <c r="L353">
        <v>302934.13410976261</v>
      </c>
      <c r="M353">
        <v>1352440.865890238</v>
      </c>
      <c r="N353">
        <v>187239.03209802997</v>
      </c>
    </row>
    <row r="354" spans="1:14" x14ac:dyDescent="0.25">
      <c r="A354" t="s">
        <v>358</v>
      </c>
      <c r="B354">
        <v>44972</v>
      </c>
      <c r="C354" t="s">
        <v>616</v>
      </c>
      <c r="D354" t="s">
        <v>618</v>
      </c>
      <c r="E354" t="s">
        <v>622</v>
      </c>
      <c r="F354" t="s">
        <v>628</v>
      </c>
      <c r="G354" t="s">
        <v>632</v>
      </c>
      <c r="H354">
        <v>5</v>
      </c>
      <c r="I354">
        <v>142876</v>
      </c>
      <c r="J354">
        <v>714380</v>
      </c>
      <c r="K354">
        <v>559914.8941610927</v>
      </c>
      <c r="L354">
        <v>120570.1147590302</v>
      </c>
      <c r="M354">
        <v>593809.88524096983</v>
      </c>
      <c r="N354">
        <v>33894.991079877131</v>
      </c>
    </row>
    <row r="355" spans="1:14" x14ac:dyDescent="0.25">
      <c r="A355" t="s">
        <v>359</v>
      </c>
      <c r="B355">
        <v>45299</v>
      </c>
      <c r="C355" t="s">
        <v>613</v>
      </c>
      <c r="D355" t="s">
        <v>619</v>
      </c>
      <c r="E355" t="s">
        <v>620</v>
      </c>
      <c r="F355" t="s">
        <v>630</v>
      </c>
      <c r="G355" t="s">
        <v>633</v>
      </c>
      <c r="H355">
        <v>1</v>
      </c>
      <c r="I355">
        <v>50336</v>
      </c>
      <c r="J355">
        <v>50336</v>
      </c>
      <c r="K355">
        <v>29635.180531475689</v>
      </c>
      <c r="L355">
        <v>7472.8043528253947</v>
      </c>
      <c r="M355">
        <v>42863.195647174609</v>
      </c>
      <c r="N355">
        <v>13228.01511569892</v>
      </c>
    </row>
    <row r="356" spans="1:14" x14ac:dyDescent="0.25">
      <c r="A356" t="s">
        <v>360</v>
      </c>
      <c r="B356">
        <v>45444</v>
      </c>
      <c r="C356" t="s">
        <v>614</v>
      </c>
      <c r="D356" t="s">
        <v>618</v>
      </c>
      <c r="E356" t="s">
        <v>624</v>
      </c>
      <c r="F356" t="s">
        <v>626</v>
      </c>
      <c r="G356" t="s">
        <v>633</v>
      </c>
      <c r="H356">
        <v>5</v>
      </c>
      <c r="I356">
        <v>355077</v>
      </c>
      <c r="J356">
        <v>1775385</v>
      </c>
      <c r="K356">
        <v>888284.81860634941</v>
      </c>
      <c r="L356">
        <v>59587.10317820491</v>
      </c>
      <c r="M356">
        <v>1715797.896821795</v>
      </c>
      <c r="N356">
        <v>827513.07821544562</v>
      </c>
    </row>
    <row r="357" spans="1:14" x14ac:dyDescent="0.25">
      <c r="A357" t="s">
        <v>361</v>
      </c>
      <c r="B357">
        <v>45025</v>
      </c>
      <c r="C357" t="s">
        <v>613</v>
      </c>
      <c r="D357" t="s">
        <v>619</v>
      </c>
      <c r="E357" t="s">
        <v>624</v>
      </c>
      <c r="F357" t="s">
        <v>626</v>
      </c>
      <c r="G357" t="s">
        <v>633</v>
      </c>
      <c r="H357">
        <v>2</v>
      </c>
      <c r="I357">
        <v>357680</v>
      </c>
      <c r="J357">
        <v>715360</v>
      </c>
      <c r="K357">
        <v>416043.62408332858</v>
      </c>
      <c r="L357">
        <v>17220.657575515121</v>
      </c>
      <c r="M357">
        <v>698139.3424244849</v>
      </c>
      <c r="N357">
        <v>282095.71834115632</v>
      </c>
    </row>
    <row r="358" spans="1:14" x14ac:dyDescent="0.25">
      <c r="A358" t="s">
        <v>362</v>
      </c>
      <c r="B358">
        <v>44963</v>
      </c>
      <c r="C358" t="s">
        <v>616</v>
      </c>
      <c r="D358" t="s">
        <v>619</v>
      </c>
      <c r="E358" t="s">
        <v>624</v>
      </c>
      <c r="F358" t="s">
        <v>625</v>
      </c>
      <c r="G358" t="s">
        <v>632</v>
      </c>
      <c r="H358">
        <v>7</v>
      </c>
      <c r="I358">
        <v>119504</v>
      </c>
      <c r="J358">
        <v>836528</v>
      </c>
      <c r="K358">
        <v>472945.67200492031</v>
      </c>
      <c r="L358">
        <v>11310.653173326749</v>
      </c>
      <c r="M358">
        <v>825217.34682667325</v>
      </c>
      <c r="N358">
        <v>352271.67482175294</v>
      </c>
    </row>
    <row r="359" spans="1:14" x14ac:dyDescent="0.25">
      <c r="A359" t="s">
        <v>363</v>
      </c>
      <c r="B359">
        <v>45206</v>
      </c>
      <c r="C359" t="s">
        <v>613</v>
      </c>
      <c r="D359" t="s">
        <v>618</v>
      </c>
      <c r="E359" t="s">
        <v>624</v>
      </c>
      <c r="F359" t="s">
        <v>625</v>
      </c>
      <c r="G359" t="s">
        <v>631</v>
      </c>
      <c r="H359">
        <v>3</v>
      </c>
      <c r="I359">
        <v>149214</v>
      </c>
      <c r="J359">
        <v>447642</v>
      </c>
      <c r="K359">
        <v>312700.48720488022</v>
      </c>
      <c r="L359">
        <v>64821.174824137597</v>
      </c>
      <c r="M359">
        <v>382820.82517586241</v>
      </c>
      <c r="N359">
        <v>70120.337970982189</v>
      </c>
    </row>
    <row r="360" spans="1:14" x14ac:dyDescent="0.25">
      <c r="A360" t="s">
        <v>364</v>
      </c>
      <c r="B360">
        <v>45275</v>
      </c>
      <c r="C360" t="s">
        <v>614</v>
      </c>
      <c r="D360" t="s">
        <v>618</v>
      </c>
      <c r="E360" t="s">
        <v>621</v>
      </c>
      <c r="F360" t="s">
        <v>627</v>
      </c>
      <c r="G360" t="s">
        <v>632</v>
      </c>
      <c r="H360">
        <v>4</v>
      </c>
      <c r="I360">
        <v>232220</v>
      </c>
      <c r="J360">
        <v>928880</v>
      </c>
      <c r="K360">
        <v>641032.60923706146</v>
      </c>
      <c r="L360">
        <v>172550.22770475259</v>
      </c>
      <c r="M360">
        <v>756329.77229524741</v>
      </c>
      <c r="N360">
        <v>115297.16305818595</v>
      </c>
    </row>
    <row r="361" spans="1:14" x14ac:dyDescent="0.25">
      <c r="A361" t="s">
        <v>365</v>
      </c>
      <c r="B361">
        <v>45423</v>
      </c>
      <c r="C361" t="s">
        <v>615</v>
      </c>
      <c r="D361" t="s">
        <v>619</v>
      </c>
      <c r="E361" t="s">
        <v>622</v>
      </c>
      <c r="F361" t="s">
        <v>628</v>
      </c>
      <c r="G361" t="s">
        <v>633</v>
      </c>
      <c r="H361">
        <v>3</v>
      </c>
      <c r="I361">
        <v>163936</v>
      </c>
      <c r="J361">
        <v>491808</v>
      </c>
      <c r="K361">
        <v>333464.71671157342</v>
      </c>
      <c r="L361">
        <v>42348.192202319777</v>
      </c>
      <c r="M361">
        <v>449459.8077976802</v>
      </c>
      <c r="N361">
        <v>115995.09108610678</v>
      </c>
    </row>
    <row r="362" spans="1:14" x14ac:dyDescent="0.25">
      <c r="A362" t="s">
        <v>366</v>
      </c>
      <c r="B362">
        <v>45228</v>
      </c>
      <c r="C362" t="s">
        <v>616</v>
      </c>
      <c r="D362" t="s">
        <v>618</v>
      </c>
      <c r="E362" t="s">
        <v>623</v>
      </c>
      <c r="F362" t="s">
        <v>625</v>
      </c>
      <c r="G362" t="s">
        <v>631</v>
      </c>
      <c r="H362">
        <v>3</v>
      </c>
      <c r="I362">
        <v>66279</v>
      </c>
      <c r="J362">
        <v>198837</v>
      </c>
      <c r="K362">
        <v>100387.4392552315</v>
      </c>
      <c r="L362">
        <v>4737.9147595356462</v>
      </c>
      <c r="M362">
        <v>194099.0852404644</v>
      </c>
      <c r="N362">
        <v>93711.645985232899</v>
      </c>
    </row>
    <row r="363" spans="1:14" x14ac:dyDescent="0.25">
      <c r="A363" t="s">
        <v>367</v>
      </c>
      <c r="B363">
        <v>45107</v>
      </c>
      <c r="C363" t="s">
        <v>615</v>
      </c>
      <c r="D363" t="s">
        <v>618</v>
      </c>
      <c r="E363" t="s">
        <v>621</v>
      </c>
      <c r="F363" t="s">
        <v>627</v>
      </c>
      <c r="G363" t="s">
        <v>632</v>
      </c>
      <c r="H363">
        <v>4</v>
      </c>
      <c r="I363">
        <v>249737</v>
      </c>
      <c r="J363">
        <v>998948</v>
      </c>
      <c r="K363">
        <v>717877.41398120963</v>
      </c>
      <c r="L363">
        <v>102370.75669693929</v>
      </c>
      <c r="M363">
        <v>896577.24330306076</v>
      </c>
      <c r="N363">
        <v>178699.82932185114</v>
      </c>
    </row>
    <row r="364" spans="1:14" x14ac:dyDescent="0.25">
      <c r="A364" t="s">
        <v>368</v>
      </c>
      <c r="B364">
        <v>45533</v>
      </c>
      <c r="C364" t="s">
        <v>615</v>
      </c>
      <c r="D364" t="s">
        <v>619</v>
      </c>
      <c r="E364" t="s">
        <v>621</v>
      </c>
      <c r="F364" t="s">
        <v>625</v>
      </c>
      <c r="G364" t="s">
        <v>633</v>
      </c>
      <c r="H364">
        <v>5</v>
      </c>
      <c r="I364">
        <v>153751</v>
      </c>
      <c r="J364">
        <v>768755</v>
      </c>
      <c r="K364">
        <v>458992.18667508528</v>
      </c>
      <c r="L364">
        <v>53633.254603671841</v>
      </c>
      <c r="M364">
        <v>715121.74539632816</v>
      </c>
      <c r="N364">
        <v>256129.55872124288</v>
      </c>
    </row>
    <row r="365" spans="1:14" x14ac:dyDescent="0.25">
      <c r="A365" t="s">
        <v>369</v>
      </c>
      <c r="B365">
        <v>45025</v>
      </c>
      <c r="C365" t="s">
        <v>615</v>
      </c>
      <c r="D365" t="s">
        <v>619</v>
      </c>
      <c r="E365" t="s">
        <v>623</v>
      </c>
      <c r="F365" t="s">
        <v>628</v>
      </c>
      <c r="G365" t="s">
        <v>633</v>
      </c>
      <c r="H365">
        <v>1</v>
      </c>
      <c r="I365">
        <v>416577</v>
      </c>
      <c r="J365">
        <v>416577</v>
      </c>
      <c r="K365">
        <v>291402.60861972457</v>
      </c>
      <c r="L365">
        <v>31228.688502189802</v>
      </c>
      <c r="M365">
        <v>385348.31149781018</v>
      </c>
      <c r="N365">
        <v>93945.702878085605</v>
      </c>
    </row>
    <row r="366" spans="1:14" x14ac:dyDescent="0.25">
      <c r="A366" t="s">
        <v>370</v>
      </c>
      <c r="B366">
        <v>45626</v>
      </c>
      <c r="C366" t="s">
        <v>617</v>
      </c>
      <c r="D366" t="s">
        <v>618</v>
      </c>
      <c r="E366" t="s">
        <v>623</v>
      </c>
      <c r="F366" t="s">
        <v>626</v>
      </c>
      <c r="G366" t="s">
        <v>632</v>
      </c>
      <c r="H366">
        <v>4</v>
      </c>
      <c r="I366">
        <v>121386</v>
      </c>
      <c r="J366">
        <v>485544</v>
      </c>
      <c r="K366">
        <v>323844.99494659482</v>
      </c>
      <c r="L366">
        <v>60336.67131501175</v>
      </c>
      <c r="M366">
        <v>425207.32868498832</v>
      </c>
      <c r="N366">
        <v>101362.3337383935</v>
      </c>
    </row>
    <row r="367" spans="1:14" x14ac:dyDescent="0.25">
      <c r="A367" t="s">
        <v>371</v>
      </c>
      <c r="B367">
        <v>45042</v>
      </c>
      <c r="C367" t="s">
        <v>617</v>
      </c>
      <c r="D367" t="s">
        <v>619</v>
      </c>
      <c r="E367" t="s">
        <v>624</v>
      </c>
      <c r="F367" t="s">
        <v>629</v>
      </c>
      <c r="G367" t="s">
        <v>632</v>
      </c>
      <c r="H367">
        <v>8</v>
      </c>
      <c r="I367">
        <v>136124</v>
      </c>
      <c r="J367">
        <v>1088992</v>
      </c>
      <c r="K367">
        <v>656465.37078307627</v>
      </c>
      <c r="L367">
        <v>156535.65511952649</v>
      </c>
      <c r="M367">
        <v>932456.34488047357</v>
      </c>
      <c r="N367">
        <v>275990.97409739729</v>
      </c>
    </row>
    <row r="368" spans="1:14" x14ac:dyDescent="0.25">
      <c r="A368" t="s">
        <v>372</v>
      </c>
      <c r="B368">
        <v>45117</v>
      </c>
      <c r="C368" t="s">
        <v>615</v>
      </c>
      <c r="D368" t="s">
        <v>619</v>
      </c>
      <c r="E368" t="s">
        <v>621</v>
      </c>
      <c r="F368" t="s">
        <v>628</v>
      </c>
      <c r="G368" t="s">
        <v>632</v>
      </c>
      <c r="H368">
        <v>7</v>
      </c>
      <c r="I368">
        <v>417894</v>
      </c>
      <c r="J368">
        <v>2925258</v>
      </c>
      <c r="K368">
        <v>1580730.090586928</v>
      </c>
      <c r="L368">
        <v>64708.812486500959</v>
      </c>
      <c r="M368">
        <v>2860549.1875134991</v>
      </c>
      <c r="N368">
        <v>1279819.0969265711</v>
      </c>
    </row>
    <row r="369" spans="1:14" x14ac:dyDescent="0.25">
      <c r="A369" t="s">
        <v>373</v>
      </c>
      <c r="B369">
        <v>45179</v>
      </c>
      <c r="C369" t="s">
        <v>616</v>
      </c>
      <c r="D369" t="s">
        <v>619</v>
      </c>
      <c r="E369" t="s">
        <v>620</v>
      </c>
      <c r="F369" t="s">
        <v>630</v>
      </c>
      <c r="G369" t="s">
        <v>633</v>
      </c>
      <c r="H369">
        <v>9</v>
      </c>
      <c r="I369">
        <v>389629</v>
      </c>
      <c r="J369">
        <v>3506661</v>
      </c>
      <c r="K369">
        <v>1852659.0198267</v>
      </c>
      <c r="L369">
        <v>24960.574870013861</v>
      </c>
      <c r="M369">
        <v>3481700.4251299859</v>
      </c>
      <c r="N369">
        <v>1629041.4053032859</v>
      </c>
    </row>
    <row r="370" spans="1:14" x14ac:dyDescent="0.25">
      <c r="A370" t="s">
        <v>374</v>
      </c>
      <c r="B370">
        <v>45087</v>
      </c>
      <c r="C370" t="s">
        <v>614</v>
      </c>
      <c r="D370" t="s">
        <v>618</v>
      </c>
      <c r="E370" t="s">
        <v>623</v>
      </c>
      <c r="F370" t="s">
        <v>625</v>
      </c>
      <c r="G370" t="s">
        <v>632</v>
      </c>
      <c r="H370">
        <v>5</v>
      </c>
      <c r="I370">
        <v>386199</v>
      </c>
      <c r="J370">
        <v>1930995</v>
      </c>
      <c r="K370">
        <v>1447194.823094412</v>
      </c>
      <c r="L370">
        <v>384009.3685669204</v>
      </c>
      <c r="M370">
        <v>1546985.631433079</v>
      </c>
      <c r="N370">
        <v>99790.808338667033</v>
      </c>
    </row>
    <row r="371" spans="1:14" x14ac:dyDescent="0.25">
      <c r="A371" t="s">
        <v>375</v>
      </c>
      <c r="B371">
        <v>45182</v>
      </c>
      <c r="C371" t="s">
        <v>614</v>
      </c>
      <c r="D371" t="s">
        <v>618</v>
      </c>
      <c r="E371" t="s">
        <v>623</v>
      </c>
      <c r="F371" t="s">
        <v>625</v>
      </c>
      <c r="G371" t="s">
        <v>633</v>
      </c>
      <c r="H371">
        <v>4</v>
      </c>
      <c r="I371">
        <v>141911</v>
      </c>
      <c r="J371">
        <v>567644</v>
      </c>
      <c r="K371">
        <v>440218.85631320323</v>
      </c>
      <c r="L371">
        <v>26421.370178363901</v>
      </c>
      <c r="M371">
        <v>541222.62982163613</v>
      </c>
      <c r="N371">
        <v>101003.7735084329</v>
      </c>
    </row>
    <row r="372" spans="1:14" x14ac:dyDescent="0.25">
      <c r="A372" t="s">
        <v>376</v>
      </c>
      <c r="B372">
        <v>45249</v>
      </c>
      <c r="C372" t="s">
        <v>613</v>
      </c>
      <c r="D372" t="s">
        <v>619</v>
      </c>
      <c r="E372" t="s">
        <v>622</v>
      </c>
      <c r="F372" t="s">
        <v>626</v>
      </c>
      <c r="G372" t="s">
        <v>632</v>
      </c>
      <c r="H372">
        <v>8</v>
      </c>
      <c r="I372">
        <v>410762</v>
      </c>
      <c r="J372">
        <v>3286096</v>
      </c>
      <c r="K372">
        <v>2283627.7703959942</v>
      </c>
      <c r="L372">
        <v>35378.454515917547</v>
      </c>
      <c r="M372">
        <v>3250717.5454840818</v>
      </c>
      <c r="N372">
        <v>967089.77508808766</v>
      </c>
    </row>
    <row r="373" spans="1:14" x14ac:dyDescent="0.25">
      <c r="A373" t="s">
        <v>377</v>
      </c>
      <c r="B373">
        <v>45054</v>
      </c>
      <c r="C373" t="s">
        <v>616</v>
      </c>
      <c r="D373" t="s">
        <v>618</v>
      </c>
      <c r="E373" t="s">
        <v>620</v>
      </c>
      <c r="F373" t="s">
        <v>630</v>
      </c>
      <c r="G373" t="s">
        <v>633</v>
      </c>
      <c r="H373">
        <v>9</v>
      </c>
      <c r="I373">
        <v>247742</v>
      </c>
      <c r="J373">
        <v>2229678</v>
      </c>
      <c r="K373">
        <v>1184026.4311061681</v>
      </c>
      <c r="L373">
        <v>84672.168805586538</v>
      </c>
      <c r="M373">
        <v>2145005.8311944129</v>
      </c>
      <c r="N373">
        <v>960979.40008824482</v>
      </c>
    </row>
    <row r="374" spans="1:14" x14ac:dyDescent="0.25">
      <c r="A374" t="s">
        <v>378</v>
      </c>
      <c r="B374">
        <v>44944</v>
      </c>
      <c r="C374" t="s">
        <v>617</v>
      </c>
      <c r="D374" t="s">
        <v>619</v>
      </c>
      <c r="E374" t="s">
        <v>620</v>
      </c>
      <c r="F374" t="s">
        <v>626</v>
      </c>
      <c r="G374" t="s">
        <v>633</v>
      </c>
      <c r="H374">
        <v>7</v>
      </c>
      <c r="I374">
        <v>497244</v>
      </c>
      <c r="J374">
        <v>3480708</v>
      </c>
      <c r="K374">
        <v>2160155.8050121898</v>
      </c>
      <c r="L374">
        <v>27120.177489574038</v>
      </c>
      <c r="M374">
        <v>3453587.8225104259</v>
      </c>
      <c r="N374">
        <v>1293432.0174982361</v>
      </c>
    </row>
    <row r="375" spans="1:14" x14ac:dyDescent="0.25">
      <c r="A375" t="s">
        <v>379</v>
      </c>
      <c r="B375">
        <v>45492</v>
      </c>
      <c r="C375" t="s">
        <v>615</v>
      </c>
      <c r="D375" t="s">
        <v>618</v>
      </c>
      <c r="E375" t="s">
        <v>623</v>
      </c>
      <c r="F375" t="s">
        <v>630</v>
      </c>
      <c r="G375" t="s">
        <v>631</v>
      </c>
      <c r="H375">
        <v>7</v>
      </c>
      <c r="I375">
        <v>271094</v>
      </c>
      <c r="J375">
        <v>1897658</v>
      </c>
      <c r="K375">
        <v>1363812.1913779459</v>
      </c>
      <c r="L375">
        <v>148704.61573148661</v>
      </c>
      <c r="M375">
        <v>1748953.3842685129</v>
      </c>
      <c r="N375">
        <v>385141.19289056701</v>
      </c>
    </row>
    <row r="376" spans="1:14" x14ac:dyDescent="0.25">
      <c r="A376" t="s">
        <v>380</v>
      </c>
      <c r="B376">
        <v>45496</v>
      </c>
      <c r="C376" t="s">
        <v>613</v>
      </c>
      <c r="D376" t="s">
        <v>619</v>
      </c>
      <c r="E376" t="s">
        <v>624</v>
      </c>
      <c r="F376" t="s">
        <v>629</v>
      </c>
      <c r="G376" t="s">
        <v>632</v>
      </c>
      <c r="H376">
        <v>5</v>
      </c>
      <c r="I376">
        <v>426036</v>
      </c>
      <c r="J376">
        <v>2130180</v>
      </c>
      <c r="K376">
        <v>1563437.65521017</v>
      </c>
      <c r="L376">
        <v>341852.04664050438</v>
      </c>
      <c r="M376">
        <v>1788327.9533594961</v>
      </c>
      <c r="N376">
        <v>224890.29814932612</v>
      </c>
    </row>
    <row r="377" spans="1:14" x14ac:dyDescent="0.25">
      <c r="A377" t="s">
        <v>381</v>
      </c>
      <c r="B377">
        <v>45249</v>
      </c>
      <c r="C377" t="s">
        <v>614</v>
      </c>
      <c r="D377" t="s">
        <v>619</v>
      </c>
      <c r="E377" t="s">
        <v>622</v>
      </c>
      <c r="F377" t="s">
        <v>625</v>
      </c>
      <c r="G377" t="s">
        <v>632</v>
      </c>
      <c r="H377">
        <v>4</v>
      </c>
      <c r="I377">
        <v>287723</v>
      </c>
      <c r="J377">
        <v>1150892</v>
      </c>
      <c r="K377">
        <v>616263.05999375065</v>
      </c>
      <c r="L377">
        <v>78547.101454112519</v>
      </c>
      <c r="M377">
        <v>1072344.898545888</v>
      </c>
      <c r="N377">
        <v>456081.83855213737</v>
      </c>
    </row>
    <row r="378" spans="1:14" x14ac:dyDescent="0.25">
      <c r="A378" t="s">
        <v>382</v>
      </c>
      <c r="B378">
        <v>45612</v>
      </c>
      <c r="C378" t="s">
        <v>617</v>
      </c>
      <c r="D378" t="s">
        <v>618</v>
      </c>
      <c r="E378" t="s">
        <v>620</v>
      </c>
      <c r="F378" t="s">
        <v>625</v>
      </c>
      <c r="G378" t="s">
        <v>633</v>
      </c>
      <c r="H378">
        <v>1</v>
      </c>
      <c r="I378">
        <v>383272</v>
      </c>
      <c r="J378">
        <v>383272</v>
      </c>
      <c r="K378">
        <v>191639.53210199231</v>
      </c>
      <c r="L378">
        <v>34048.61254421706</v>
      </c>
      <c r="M378">
        <v>349223.38745578303</v>
      </c>
      <c r="N378">
        <v>157583.85535379071</v>
      </c>
    </row>
    <row r="379" spans="1:14" x14ac:dyDescent="0.25">
      <c r="A379" t="s">
        <v>383</v>
      </c>
      <c r="B379">
        <v>45552</v>
      </c>
      <c r="C379" t="s">
        <v>617</v>
      </c>
      <c r="D379" t="s">
        <v>619</v>
      </c>
      <c r="E379" t="s">
        <v>623</v>
      </c>
      <c r="F379" t="s">
        <v>629</v>
      </c>
      <c r="G379" t="s">
        <v>633</v>
      </c>
      <c r="H379">
        <v>7</v>
      </c>
      <c r="I379">
        <v>461324</v>
      </c>
      <c r="J379">
        <v>3229268</v>
      </c>
      <c r="K379">
        <v>2304538.4121630308</v>
      </c>
      <c r="L379">
        <v>436330.14982091519</v>
      </c>
      <c r="M379">
        <v>2792937.850179085</v>
      </c>
      <c r="N379">
        <v>488399.43801605422</v>
      </c>
    </row>
    <row r="380" spans="1:14" x14ac:dyDescent="0.25">
      <c r="A380" t="s">
        <v>384</v>
      </c>
      <c r="B380">
        <v>45214</v>
      </c>
      <c r="C380" t="s">
        <v>615</v>
      </c>
      <c r="D380" t="s">
        <v>618</v>
      </c>
      <c r="E380" t="s">
        <v>620</v>
      </c>
      <c r="F380" t="s">
        <v>627</v>
      </c>
      <c r="G380" t="s">
        <v>633</v>
      </c>
      <c r="H380">
        <v>1</v>
      </c>
      <c r="I380">
        <v>364639</v>
      </c>
      <c r="J380">
        <v>364639</v>
      </c>
      <c r="K380">
        <v>221328.16190463019</v>
      </c>
      <c r="L380">
        <v>37112.524963242213</v>
      </c>
      <c r="M380">
        <v>327526.47503675782</v>
      </c>
      <c r="N380">
        <v>106198.31313212763</v>
      </c>
    </row>
    <row r="381" spans="1:14" x14ac:dyDescent="0.25">
      <c r="A381" t="s">
        <v>385</v>
      </c>
      <c r="B381">
        <v>45589</v>
      </c>
      <c r="C381" t="s">
        <v>614</v>
      </c>
      <c r="D381" t="s">
        <v>618</v>
      </c>
      <c r="E381" t="s">
        <v>622</v>
      </c>
      <c r="F381" t="s">
        <v>626</v>
      </c>
      <c r="G381" t="s">
        <v>631</v>
      </c>
      <c r="H381">
        <v>1</v>
      </c>
      <c r="I381">
        <v>132806</v>
      </c>
      <c r="J381">
        <v>132806</v>
      </c>
      <c r="K381">
        <v>76541.994318068406</v>
      </c>
      <c r="L381">
        <v>22881.031155549601</v>
      </c>
      <c r="M381">
        <v>109924.9688444504</v>
      </c>
      <c r="N381">
        <v>33382.974526381993</v>
      </c>
    </row>
    <row r="382" spans="1:14" x14ac:dyDescent="0.25">
      <c r="A382" t="s">
        <v>386</v>
      </c>
      <c r="B382">
        <v>45565</v>
      </c>
      <c r="C382" t="s">
        <v>616</v>
      </c>
      <c r="D382" t="s">
        <v>619</v>
      </c>
      <c r="E382" t="s">
        <v>622</v>
      </c>
      <c r="F382" t="s">
        <v>629</v>
      </c>
      <c r="G382" t="s">
        <v>631</v>
      </c>
      <c r="H382">
        <v>5</v>
      </c>
      <c r="I382">
        <v>405329</v>
      </c>
      <c r="J382">
        <v>2026645</v>
      </c>
      <c r="K382">
        <v>1021164.077798478</v>
      </c>
      <c r="L382">
        <v>351029.37413062138</v>
      </c>
      <c r="M382">
        <v>1675615.625869378</v>
      </c>
      <c r="N382">
        <v>654451.54807090003</v>
      </c>
    </row>
    <row r="383" spans="1:14" x14ac:dyDescent="0.25">
      <c r="A383" t="s">
        <v>387</v>
      </c>
      <c r="B383">
        <v>45081</v>
      </c>
      <c r="C383" t="s">
        <v>617</v>
      </c>
      <c r="D383" t="s">
        <v>619</v>
      </c>
      <c r="E383" t="s">
        <v>621</v>
      </c>
      <c r="F383" t="s">
        <v>626</v>
      </c>
      <c r="G383" t="s">
        <v>633</v>
      </c>
      <c r="H383">
        <v>9</v>
      </c>
      <c r="I383">
        <v>257605</v>
      </c>
      <c r="J383">
        <v>2318445</v>
      </c>
      <c r="K383">
        <v>1535018.83743275</v>
      </c>
      <c r="L383">
        <v>4595.4804815975413</v>
      </c>
      <c r="M383">
        <v>2313849.5195184019</v>
      </c>
      <c r="N383">
        <v>778830.6820856519</v>
      </c>
    </row>
    <row r="384" spans="1:14" x14ac:dyDescent="0.25">
      <c r="A384" t="s">
        <v>388</v>
      </c>
      <c r="B384">
        <v>45416</v>
      </c>
      <c r="C384" t="s">
        <v>615</v>
      </c>
      <c r="D384" t="s">
        <v>618</v>
      </c>
      <c r="E384" t="s">
        <v>623</v>
      </c>
      <c r="F384" t="s">
        <v>628</v>
      </c>
      <c r="G384" t="s">
        <v>632</v>
      </c>
      <c r="H384">
        <v>6</v>
      </c>
      <c r="I384">
        <v>280097</v>
      </c>
      <c r="J384">
        <v>1680582</v>
      </c>
      <c r="K384">
        <v>1269419.5815731001</v>
      </c>
      <c r="L384">
        <v>261514.12356842961</v>
      </c>
      <c r="M384">
        <v>1419067.8764315699</v>
      </c>
      <c r="N384">
        <v>149648.29485846986</v>
      </c>
    </row>
    <row r="385" spans="1:14" x14ac:dyDescent="0.25">
      <c r="A385" t="s">
        <v>389</v>
      </c>
      <c r="B385">
        <v>45312</v>
      </c>
      <c r="C385" t="s">
        <v>616</v>
      </c>
      <c r="D385" t="s">
        <v>619</v>
      </c>
      <c r="E385" t="s">
        <v>622</v>
      </c>
      <c r="F385" t="s">
        <v>625</v>
      </c>
      <c r="G385" t="s">
        <v>632</v>
      </c>
      <c r="H385">
        <v>3</v>
      </c>
      <c r="I385">
        <v>495725</v>
      </c>
      <c r="J385">
        <v>1487175</v>
      </c>
      <c r="K385">
        <v>1170837.253063631</v>
      </c>
      <c r="L385">
        <v>137038.2983878823</v>
      </c>
      <c r="M385">
        <v>1350136.7016121179</v>
      </c>
      <c r="N385">
        <v>179299.44854848692</v>
      </c>
    </row>
    <row r="386" spans="1:14" x14ac:dyDescent="0.25">
      <c r="A386" t="s">
        <v>390</v>
      </c>
      <c r="B386">
        <v>45030</v>
      </c>
      <c r="C386" t="s">
        <v>614</v>
      </c>
      <c r="D386" t="s">
        <v>619</v>
      </c>
      <c r="E386" t="s">
        <v>621</v>
      </c>
      <c r="F386" t="s">
        <v>626</v>
      </c>
      <c r="G386" t="s">
        <v>631</v>
      </c>
      <c r="H386">
        <v>3</v>
      </c>
      <c r="I386">
        <v>247478</v>
      </c>
      <c r="J386">
        <v>742434</v>
      </c>
      <c r="K386">
        <v>497225.48599908809</v>
      </c>
      <c r="L386">
        <v>146829.7676884488</v>
      </c>
      <c r="M386">
        <v>595604.23231155123</v>
      </c>
      <c r="N386">
        <v>98378.746312463132</v>
      </c>
    </row>
    <row r="387" spans="1:14" x14ac:dyDescent="0.25">
      <c r="A387" t="s">
        <v>391</v>
      </c>
      <c r="B387">
        <v>45319</v>
      </c>
      <c r="C387" t="s">
        <v>617</v>
      </c>
      <c r="D387" t="s">
        <v>619</v>
      </c>
      <c r="E387" t="s">
        <v>621</v>
      </c>
      <c r="F387" t="s">
        <v>630</v>
      </c>
      <c r="G387" t="s">
        <v>631</v>
      </c>
      <c r="H387">
        <v>7</v>
      </c>
      <c r="I387">
        <v>220591</v>
      </c>
      <c r="J387">
        <v>1544137</v>
      </c>
      <c r="K387">
        <v>1010388.131369689</v>
      </c>
      <c r="L387">
        <v>149235.30558921341</v>
      </c>
      <c r="M387">
        <v>1394901.694410786</v>
      </c>
      <c r="N387">
        <v>384513.56304109702</v>
      </c>
    </row>
    <row r="388" spans="1:14" x14ac:dyDescent="0.25">
      <c r="A388" t="s">
        <v>392</v>
      </c>
      <c r="B388">
        <v>45172</v>
      </c>
      <c r="C388" t="s">
        <v>616</v>
      </c>
      <c r="D388" t="s">
        <v>619</v>
      </c>
      <c r="E388" t="s">
        <v>620</v>
      </c>
      <c r="F388" t="s">
        <v>626</v>
      </c>
      <c r="G388" t="s">
        <v>633</v>
      </c>
      <c r="H388">
        <v>6</v>
      </c>
      <c r="I388">
        <v>361793</v>
      </c>
      <c r="J388">
        <v>2170758</v>
      </c>
      <c r="K388">
        <v>1140770.048775556</v>
      </c>
      <c r="L388">
        <v>428462.45372384199</v>
      </c>
      <c r="M388">
        <v>1742295.546276158</v>
      </c>
      <c r="N388">
        <v>601525.49750060192</v>
      </c>
    </row>
    <row r="389" spans="1:14" x14ac:dyDescent="0.25">
      <c r="A389" t="s">
        <v>393</v>
      </c>
      <c r="B389">
        <v>45102</v>
      </c>
      <c r="C389" t="s">
        <v>616</v>
      </c>
      <c r="D389" t="s">
        <v>619</v>
      </c>
      <c r="E389" t="s">
        <v>620</v>
      </c>
      <c r="F389" t="s">
        <v>628</v>
      </c>
      <c r="G389" t="s">
        <v>632</v>
      </c>
      <c r="H389">
        <v>9</v>
      </c>
      <c r="I389">
        <v>215596</v>
      </c>
      <c r="J389">
        <v>1940364</v>
      </c>
      <c r="K389">
        <v>1289685.907407722</v>
      </c>
      <c r="L389">
        <v>292827.8447973216</v>
      </c>
      <c r="M389">
        <v>1647536.1552026779</v>
      </c>
      <c r="N389">
        <v>357850.24779495597</v>
      </c>
    </row>
    <row r="390" spans="1:14" x14ac:dyDescent="0.25">
      <c r="A390" t="s">
        <v>394</v>
      </c>
      <c r="B390">
        <v>44965</v>
      </c>
      <c r="C390" t="s">
        <v>616</v>
      </c>
      <c r="D390" t="s">
        <v>618</v>
      </c>
      <c r="E390" t="s">
        <v>621</v>
      </c>
      <c r="F390" t="s">
        <v>625</v>
      </c>
      <c r="G390" t="s">
        <v>633</v>
      </c>
      <c r="H390">
        <v>6</v>
      </c>
      <c r="I390">
        <v>214957</v>
      </c>
      <c r="J390">
        <v>1289742</v>
      </c>
      <c r="K390">
        <v>791893.49317889591</v>
      </c>
      <c r="L390">
        <v>64127.232218186989</v>
      </c>
      <c r="M390">
        <v>1225614.7677818129</v>
      </c>
      <c r="N390">
        <v>433721.27460291702</v>
      </c>
    </row>
    <row r="391" spans="1:14" x14ac:dyDescent="0.25">
      <c r="A391" t="s">
        <v>395</v>
      </c>
      <c r="B391">
        <v>45403</v>
      </c>
      <c r="C391" t="s">
        <v>617</v>
      </c>
      <c r="D391" t="s">
        <v>618</v>
      </c>
      <c r="E391" t="s">
        <v>620</v>
      </c>
      <c r="F391" t="s">
        <v>629</v>
      </c>
      <c r="G391" t="s">
        <v>631</v>
      </c>
      <c r="H391">
        <v>5</v>
      </c>
      <c r="I391">
        <v>487585</v>
      </c>
      <c r="J391">
        <v>2437925</v>
      </c>
      <c r="K391">
        <v>1663007.5838944281</v>
      </c>
      <c r="L391">
        <v>262513.3159756313</v>
      </c>
      <c r="M391">
        <v>2175411.6840243689</v>
      </c>
      <c r="N391">
        <v>512404.10012994078</v>
      </c>
    </row>
    <row r="392" spans="1:14" x14ac:dyDescent="0.25">
      <c r="A392" t="s">
        <v>396</v>
      </c>
      <c r="B392">
        <v>45608</v>
      </c>
      <c r="C392" t="s">
        <v>617</v>
      </c>
      <c r="D392" t="s">
        <v>619</v>
      </c>
      <c r="E392" t="s">
        <v>622</v>
      </c>
      <c r="F392" t="s">
        <v>628</v>
      </c>
      <c r="G392" t="s">
        <v>632</v>
      </c>
      <c r="H392">
        <v>7</v>
      </c>
      <c r="I392">
        <v>282204</v>
      </c>
      <c r="J392">
        <v>1975428</v>
      </c>
      <c r="K392">
        <v>1218084.2735799211</v>
      </c>
      <c r="L392">
        <v>391978.50440477958</v>
      </c>
      <c r="M392">
        <v>1583449.49559522</v>
      </c>
      <c r="N392">
        <v>365365.2220152989</v>
      </c>
    </row>
    <row r="393" spans="1:14" x14ac:dyDescent="0.25">
      <c r="A393" t="s">
        <v>397</v>
      </c>
      <c r="B393">
        <v>45464</v>
      </c>
      <c r="C393" t="s">
        <v>613</v>
      </c>
      <c r="D393" t="s">
        <v>619</v>
      </c>
      <c r="E393" t="s">
        <v>624</v>
      </c>
      <c r="F393" t="s">
        <v>625</v>
      </c>
      <c r="G393" t="s">
        <v>632</v>
      </c>
      <c r="H393">
        <v>1</v>
      </c>
      <c r="I393">
        <v>407546</v>
      </c>
      <c r="J393">
        <v>407546</v>
      </c>
      <c r="K393">
        <v>233152.88396971091</v>
      </c>
      <c r="L393">
        <v>69896.633813373104</v>
      </c>
      <c r="M393">
        <v>337649.3661866269</v>
      </c>
      <c r="N393">
        <v>104496.48221691599</v>
      </c>
    </row>
    <row r="394" spans="1:14" x14ac:dyDescent="0.25">
      <c r="A394" t="s">
        <v>398</v>
      </c>
      <c r="B394">
        <v>45334</v>
      </c>
      <c r="C394" t="s">
        <v>614</v>
      </c>
      <c r="D394" t="s">
        <v>619</v>
      </c>
      <c r="E394" t="s">
        <v>622</v>
      </c>
      <c r="F394" t="s">
        <v>626</v>
      </c>
      <c r="G394" t="s">
        <v>631</v>
      </c>
      <c r="H394">
        <v>7</v>
      </c>
      <c r="I394">
        <v>342820</v>
      </c>
      <c r="J394">
        <v>2399740</v>
      </c>
      <c r="K394">
        <v>1268237.590872963</v>
      </c>
      <c r="L394">
        <v>46731.045941308977</v>
      </c>
      <c r="M394">
        <v>2353008.9540586909</v>
      </c>
      <c r="N394">
        <v>1084771.363185728</v>
      </c>
    </row>
    <row r="395" spans="1:14" x14ac:dyDescent="0.25">
      <c r="A395" t="s">
        <v>399</v>
      </c>
      <c r="B395">
        <v>45451</v>
      </c>
      <c r="C395" t="s">
        <v>615</v>
      </c>
      <c r="D395" t="s">
        <v>618</v>
      </c>
      <c r="E395" t="s">
        <v>621</v>
      </c>
      <c r="F395" t="s">
        <v>627</v>
      </c>
      <c r="G395" t="s">
        <v>633</v>
      </c>
      <c r="H395">
        <v>3</v>
      </c>
      <c r="I395">
        <v>376237</v>
      </c>
      <c r="J395">
        <v>1128711</v>
      </c>
      <c r="K395">
        <v>670991.07375311304</v>
      </c>
      <c r="L395">
        <v>159457.96857828149</v>
      </c>
      <c r="M395">
        <v>969253.03142171842</v>
      </c>
      <c r="N395">
        <v>298261.95766860538</v>
      </c>
    </row>
    <row r="396" spans="1:14" x14ac:dyDescent="0.25">
      <c r="A396" t="s">
        <v>400</v>
      </c>
      <c r="B396">
        <v>45432</v>
      </c>
      <c r="C396" t="s">
        <v>616</v>
      </c>
      <c r="D396" t="s">
        <v>619</v>
      </c>
      <c r="E396" t="s">
        <v>621</v>
      </c>
      <c r="F396" t="s">
        <v>627</v>
      </c>
      <c r="G396" t="s">
        <v>633</v>
      </c>
      <c r="H396">
        <v>9</v>
      </c>
      <c r="I396">
        <v>490980</v>
      </c>
      <c r="J396">
        <v>4418820</v>
      </c>
      <c r="K396">
        <v>2337526.8379942221</v>
      </c>
      <c r="L396">
        <v>305410.79712753318</v>
      </c>
      <c r="M396">
        <v>4113409.2028724672</v>
      </c>
      <c r="N396">
        <v>1775882.3648782452</v>
      </c>
    </row>
    <row r="397" spans="1:14" x14ac:dyDescent="0.25">
      <c r="A397" t="s">
        <v>401</v>
      </c>
      <c r="B397">
        <v>44962</v>
      </c>
      <c r="C397" t="s">
        <v>613</v>
      </c>
      <c r="D397" t="s">
        <v>618</v>
      </c>
      <c r="E397" t="s">
        <v>622</v>
      </c>
      <c r="F397" t="s">
        <v>630</v>
      </c>
      <c r="G397" t="s">
        <v>632</v>
      </c>
      <c r="H397">
        <v>6</v>
      </c>
      <c r="I397">
        <v>231871</v>
      </c>
      <c r="J397">
        <v>1391226</v>
      </c>
      <c r="K397">
        <v>769444.0911921144</v>
      </c>
      <c r="L397">
        <v>1942.780853349838</v>
      </c>
      <c r="M397">
        <v>1389283.2191466501</v>
      </c>
      <c r="N397">
        <v>619839.12795453565</v>
      </c>
    </row>
    <row r="398" spans="1:14" x14ac:dyDescent="0.25">
      <c r="A398" t="s">
        <v>402</v>
      </c>
      <c r="B398">
        <v>45611</v>
      </c>
      <c r="C398" t="s">
        <v>615</v>
      </c>
      <c r="D398" t="s">
        <v>618</v>
      </c>
      <c r="E398" t="s">
        <v>620</v>
      </c>
      <c r="F398" t="s">
        <v>625</v>
      </c>
      <c r="G398" t="s">
        <v>631</v>
      </c>
      <c r="H398">
        <v>9</v>
      </c>
      <c r="I398">
        <v>391558</v>
      </c>
      <c r="J398">
        <v>3524022</v>
      </c>
      <c r="K398">
        <v>2805829.303268943</v>
      </c>
      <c r="L398">
        <v>284375.162286493</v>
      </c>
      <c r="M398">
        <v>3239646.837713507</v>
      </c>
      <c r="N398">
        <v>433817.53444456402</v>
      </c>
    </row>
    <row r="399" spans="1:14" x14ac:dyDescent="0.25">
      <c r="A399" t="s">
        <v>403</v>
      </c>
      <c r="B399">
        <v>44946</v>
      </c>
      <c r="C399" t="s">
        <v>613</v>
      </c>
      <c r="D399" t="s">
        <v>618</v>
      </c>
      <c r="E399" t="s">
        <v>620</v>
      </c>
      <c r="F399" t="s">
        <v>627</v>
      </c>
      <c r="G399" t="s">
        <v>632</v>
      </c>
      <c r="H399">
        <v>5</v>
      </c>
      <c r="I399">
        <v>405239</v>
      </c>
      <c r="J399">
        <v>2026195</v>
      </c>
      <c r="K399">
        <v>1283049.621945922</v>
      </c>
      <c r="L399">
        <v>95131.647105405646</v>
      </c>
      <c r="M399">
        <v>1931063.352894594</v>
      </c>
      <c r="N399">
        <v>648013.73094867193</v>
      </c>
    </row>
    <row r="400" spans="1:14" x14ac:dyDescent="0.25">
      <c r="A400" t="s">
        <v>404</v>
      </c>
      <c r="B400">
        <v>45247</v>
      </c>
      <c r="C400" t="s">
        <v>617</v>
      </c>
      <c r="D400" t="s">
        <v>619</v>
      </c>
      <c r="E400" t="s">
        <v>621</v>
      </c>
      <c r="F400" t="s">
        <v>629</v>
      </c>
      <c r="G400" t="s">
        <v>631</v>
      </c>
      <c r="H400">
        <v>7</v>
      </c>
      <c r="I400">
        <v>293154</v>
      </c>
      <c r="J400">
        <v>2052078</v>
      </c>
      <c r="K400">
        <v>1353471.7052598239</v>
      </c>
      <c r="L400">
        <v>336076.72298222157</v>
      </c>
      <c r="M400">
        <v>1716001.277017778</v>
      </c>
      <c r="N400">
        <v>362529.57175795408</v>
      </c>
    </row>
    <row r="401" spans="1:14" x14ac:dyDescent="0.25">
      <c r="A401" t="s">
        <v>405</v>
      </c>
      <c r="B401">
        <v>45438</v>
      </c>
      <c r="C401" t="s">
        <v>616</v>
      </c>
      <c r="D401" t="s">
        <v>618</v>
      </c>
      <c r="E401" t="s">
        <v>623</v>
      </c>
      <c r="F401" t="s">
        <v>625</v>
      </c>
      <c r="G401" t="s">
        <v>633</v>
      </c>
      <c r="H401">
        <v>4</v>
      </c>
      <c r="I401">
        <v>122307</v>
      </c>
      <c r="J401">
        <v>489228</v>
      </c>
      <c r="K401">
        <v>372833.59367311507</v>
      </c>
      <c r="L401">
        <v>33006.315820879237</v>
      </c>
      <c r="M401">
        <v>456221.68417912081</v>
      </c>
      <c r="N401">
        <v>83388.090506005741</v>
      </c>
    </row>
    <row r="402" spans="1:14" x14ac:dyDescent="0.25">
      <c r="A402" t="s">
        <v>406</v>
      </c>
      <c r="B402">
        <v>45326</v>
      </c>
      <c r="C402" t="s">
        <v>615</v>
      </c>
      <c r="D402" t="s">
        <v>619</v>
      </c>
      <c r="E402" t="s">
        <v>620</v>
      </c>
      <c r="F402" t="s">
        <v>629</v>
      </c>
      <c r="G402" t="s">
        <v>631</v>
      </c>
      <c r="H402">
        <v>7</v>
      </c>
      <c r="I402">
        <v>407576</v>
      </c>
      <c r="J402">
        <v>2853032</v>
      </c>
      <c r="K402">
        <v>2278632.979391424</v>
      </c>
      <c r="L402">
        <v>472190.31592168938</v>
      </c>
      <c r="M402">
        <v>2380841.6840783111</v>
      </c>
      <c r="N402">
        <v>102208.7046868871</v>
      </c>
    </row>
    <row r="403" spans="1:14" x14ac:dyDescent="0.25">
      <c r="A403" t="s">
        <v>407</v>
      </c>
      <c r="B403">
        <v>45580</v>
      </c>
      <c r="C403" t="s">
        <v>615</v>
      </c>
      <c r="D403" t="s">
        <v>618</v>
      </c>
      <c r="E403" t="s">
        <v>622</v>
      </c>
      <c r="F403" t="s">
        <v>629</v>
      </c>
      <c r="G403" t="s">
        <v>633</v>
      </c>
      <c r="H403">
        <v>1</v>
      </c>
      <c r="I403">
        <v>344067</v>
      </c>
      <c r="J403">
        <v>344067</v>
      </c>
      <c r="K403">
        <v>232181.34373280301</v>
      </c>
      <c r="L403">
        <v>41.146204214303488</v>
      </c>
      <c r="M403">
        <v>344025.85379578569</v>
      </c>
      <c r="N403">
        <v>111844.51006298268</v>
      </c>
    </row>
    <row r="404" spans="1:14" x14ac:dyDescent="0.25">
      <c r="A404" t="s">
        <v>408</v>
      </c>
      <c r="B404">
        <v>45397</v>
      </c>
      <c r="C404" t="s">
        <v>615</v>
      </c>
      <c r="D404" t="s">
        <v>619</v>
      </c>
      <c r="E404" t="s">
        <v>620</v>
      </c>
      <c r="F404" t="s">
        <v>627</v>
      </c>
      <c r="G404" t="s">
        <v>631</v>
      </c>
      <c r="H404">
        <v>7</v>
      </c>
      <c r="I404">
        <v>429593</v>
      </c>
      <c r="J404">
        <v>3007151</v>
      </c>
      <c r="K404">
        <v>2236544.939028041</v>
      </c>
      <c r="L404">
        <v>185131.73296403879</v>
      </c>
      <c r="M404">
        <v>2822019.2670359612</v>
      </c>
      <c r="N404">
        <v>585474.32800792018</v>
      </c>
    </row>
    <row r="405" spans="1:14" x14ac:dyDescent="0.25">
      <c r="A405" t="s">
        <v>409</v>
      </c>
      <c r="B405">
        <v>45069</v>
      </c>
      <c r="C405" t="s">
        <v>615</v>
      </c>
      <c r="D405" t="s">
        <v>618</v>
      </c>
      <c r="E405" t="s">
        <v>622</v>
      </c>
      <c r="F405" t="s">
        <v>625</v>
      </c>
      <c r="G405" t="s">
        <v>632</v>
      </c>
      <c r="H405">
        <v>8</v>
      </c>
      <c r="I405">
        <v>285998</v>
      </c>
      <c r="J405">
        <v>2287984</v>
      </c>
      <c r="K405">
        <v>1368402.749787777</v>
      </c>
      <c r="L405">
        <v>110356.4303385461</v>
      </c>
      <c r="M405">
        <v>2177627.5696614538</v>
      </c>
      <c r="N405">
        <v>809224.81987367687</v>
      </c>
    </row>
    <row r="406" spans="1:14" x14ac:dyDescent="0.25">
      <c r="A406" t="s">
        <v>410</v>
      </c>
      <c r="B406">
        <v>45018</v>
      </c>
      <c r="C406" t="s">
        <v>615</v>
      </c>
      <c r="D406" t="s">
        <v>619</v>
      </c>
      <c r="E406" t="s">
        <v>621</v>
      </c>
      <c r="F406" t="s">
        <v>626</v>
      </c>
      <c r="G406" t="s">
        <v>633</v>
      </c>
      <c r="H406">
        <v>5</v>
      </c>
      <c r="I406">
        <v>359718</v>
      </c>
      <c r="J406">
        <v>1798590</v>
      </c>
      <c r="K406">
        <v>1064267.407327537</v>
      </c>
      <c r="L406">
        <v>84018.383988878602</v>
      </c>
      <c r="M406">
        <v>1714571.6160111211</v>
      </c>
      <c r="N406">
        <v>650304.20868358412</v>
      </c>
    </row>
    <row r="407" spans="1:14" x14ac:dyDescent="0.25">
      <c r="A407" t="s">
        <v>411</v>
      </c>
      <c r="B407">
        <v>45280</v>
      </c>
      <c r="C407" t="s">
        <v>613</v>
      </c>
      <c r="D407" t="s">
        <v>618</v>
      </c>
      <c r="E407" t="s">
        <v>620</v>
      </c>
      <c r="F407" t="s">
        <v>628</v>
      </c>
      <c r="G407" t="s">
        <v>632</v>
      </c>
      <c r="H407">
        <v>2</v>
      </c>
      <c r="I407">
        <v>486607</v>
      </c>
      <c r="J407">
        <v>973214</v>
      </c>
      <c r="K407">
        <v>604182.06973719993</v>
      </c>
      <c r="L407">
        <v>13272.034593685001</v>
      </c>
      <c r="M407">
        <v>959941.96540631505</v>
      </c>
      <c r="N407">
        <v>355759.89566911513</v>
      </c>
    </row>
    <row r="408" spans="1:14" x14ac:dyDescent="0.25">
      <c r="A408" t="s">
        <v>412</v>
      </c>
      <c r="B408">
        <v>45653</v>
      </c>
      <c r="C408" t="s">
        <v>616</v>
      </c>
      <c r="D408" t="s">
        <v>619</v>
      </c>
      <c r="E408" t="s">
        <v>622</v>
      </c>
      <c r="F408" t="s">
        <v>627</v>
      </c>
      <c r="G408" t="s">
        <v>632</v>
      </c>
      <c r="H408">
        <v>5</v>
      </c>
      <c r="I408">
        <v>171757</v>
      </c>
      <c r="J408">
        <v>858785</v>
      </c>
      <c r="K408">
        <v>602654.24487255688</v>
      </c>
      <c r="L408">
        <v>32139.903312896549</v>
      </c>
      <c r="M408">
        <v>826645.09668710351</v>
      </c>
      <c r="N408">
        <v>223990.85181454662</v>
      </c>
    </row>
    <row r="409" spans="1:14" x14ac:dyDescent="0.25">
      <c r="A409" t="s">
        <v>413</v>
      </c>
      <c r="B409">
        <v>44977</v>
      </c>
      <c r="C409" t="s">
        <v>617</v>
      </c>
      <c r="D409" t="s">
        <v>619</v>
      </c>
      <c r="E409" t="s">
        <v>621</v>
      </c>
      <c r="F409" t="s">
        <v>627</v>
      </c>
      <c r="G409" t="s">
        <v>633</v>
      </c>
      <c r="H409">
        <v>6</v>
      </c>
      <c r="I409">
        <v>103664</v>
      </c>
      <c r="J409">
        <v>621984</v>
      </c>
      <c r="K409">
        <v>438285.69469489309</v>
      </c>
      <c r="L409">
        <v>69108.588735147481</v>
      </c>
      <c r="M409">
        <v>552875.4112648525</v>
      </c>
      <c r="N409">
        <v>114589.71656995942</v>
      </c>
    </row>
    <row r="410" spans="1:14" x14ac:dyDescent="0.25">
      <c r="A410" t="s">
        <v>414</v>
      </c>
      <c r="B410">
        <v>45591</v>
      </c>
      <c r="C410" t="s">
        <v>617</v>
      </c>
      <c r="D410" t="s">
        <v>619</v>
      </c>
      <c r="E410" t="s">
        <v>623</v>
      </c>
      <c r="F410" t="s">
        <v>626</v>
      </c>
      <c r="G410" t="s">
        <v>633</v>
      </c>
      <c r="H410">
        <v>2</v>
      </c>
      <c r="I410">
        <v>379528</v>
      </c>
      <c r="J410">
        <v>759056</v>
      </c>
      <c r="K410">
        <v>451313.31529218209</v>
      </c>
      <c r="L410">
        <v>44231.874100785397</v>
      </c>
      <c r="M410">
        <v>714824.12589921465</v>
      </c>
      <c r="N410">
        <v>263510.81060703256</v>
      </c>
    </row>
    <row r="411" spans="1:14" x14ac:dyDescent="0.25">
      <c r="A411" t="s">
        <v>415</v>
      </c>
      <c r="B411">
        <v>45624</v>
      </c>
      <c r="C411" t="s">
        <v>617</v>
      </c>
      <c r="D411" t="s">
        <v>619</v>
      </c>
      <c r="E411" t="s">
        <v>622</v>
      </c>
      <c r="F411" t="s">
        <v>625</v>
      </c>
      <c r="G411" t="s">
        <v>632</v>
      </c>
      <c r="H411">
        <v>6</v>
      </c>
      <c r="I411">
        <v>343171</v>
      </c>
      <c r="J411">
        <v>2059026</v>
      </c>
      <c r="K411">
        <v>1111797.809176604</v>
      </c>
      <c r="L411">
        <v>171885.34181601121</v>
      </c>
      <c r="M411">
        <v>1887140.6581839891</v>
      </c>
      <c r="N411">
        <v>775342.84900738508</v>
      </c>
    </row>
    <row r="412" spans="1:14" x14ac:dyDescent="0.25">
      <c r="A412" t="s">
        <v>416</v>
      </c>
      <c r="B412">
        <v>45501</v>
      </c>
      <c r="C412" t="s">
        <v>617</v>
      </c>
      <c r="D412" t="s">
        <v>618</v>
      </c>
      <c r="E412" t="s">
        <v>623</v>
      </c>
      <c r="F412" t="s">
        <v>625</v>
      </c>
      <c r="G412" t="s">
        <v>632</v>
      </c>
      <c r="H412">
        <v>6</v>
      </c>
      <c r="I412">
        <v>216536</v>
      </c>
      <c r="J412">
        <v>1299216</v>
      </c>
      <c r="K412">
        <v>896093.80042202771</v>
      </c>
      <c r="L412">
        <v>97926.296163430583</v>
      </c>
      <c r="M412">
        <v>1201289.7038365691</v>
      </c>
      <c r="N412">
        <v>305195.90341454139</v>
      </c>
    </row>
    <row r="413" spans="1:14" x14ac:dyDescent="0.25">
      <c r="A413" t="s">
        <v>417</v>
      </c>
      <c r="B413">
        <v>45116</v>
      </c>
      <c r="C413" t="s">
        <v>613</v>
      </c>
      <c r="D413" t="s">
        <v>618</v>
      </c>
      <c r="E413" t="s">
        <v>623</v>
      </c>
      <c r="F413" t="s">
        <v>629</v>
      </c>
      <c r="G413" t="s">
        <v>632</v>
      </c>
      <c r="H413">
        <v>1</v>
      </c>
      <c r="I413">
        <v>346629</v>
      </c>
      <c r="J413">
        <v>346629</v>
      </c>
      <c r="K413">
        <v>186658.93958538881</v>
      </c>
      <c r="L413">
        <v>60722.80964955769</v>
      </c>
      <c r="M413">
        <v>285906.19035044231</v>
      </c>
      <c r="N413">
        <v>99247.250765053497</v>
      </c>
    </row>
    <row r="414" spans="1:14" x14ac:dyDescent="0.25">
      <c r="A414" t="s">
        <v>418</v>
      </c>
      <c r="B414">
        <v>45051</v>
      </c>
      <c r="C414" t="s">
        <v>614</v>
      </c>
      <c r="D414" t="s">
        <v>619</v>
      </c>
      <c r="E414" t="s">
        <v>624</v>
      </c>
      <c r="F414" t="s">
        <v>626</v>
      </c>
      <c r="G414" t="s">
        <v>632</v>
      </c>
      <c r="H414">
        <v>1</v>
      </c>
      <c r="I414">
        <v>309438</v>
      </c>
      <c r="J414">
        <v>309438</v>
      </c>
      <c r="K414">
        <v>208421.26942844031</v>
      </c>
      <c r="L414">
        <v>56026.78233116318</v>
      </c>
      <c r="M414">
        <v>253411.21766883679</v>
      </c>
      <c r="N414">
        <v>44989.948240396479</v>
      </c>
    </row>
    <row r="415" spans="1:14" x14ac:dyDescent="0.25">
      <c r="A415" t="s">
        <v>419</v>
      </c>
      <c r="B415">
        <v>45076</v>
      </c>
      <c r="C415" t="s">
        <v>616</v>
      </c>
      <c r="D415" t="s">
        <v>618</v>
      </c>
      <c r="E415" t="s">
        <v>620</v>
      </c>
      <c r="F415" t="s">
        <v>626</v>
      </c>
      <c r="G415" t="s">
        <v>633</v>
      </c>
      <c r="H415">
        <v>3</v>
      </c>
      <c r="I415">
        <v>200528</v>
      </c>
      <c r="J415">
        <v>601584</v>
      </c>
      <c r="K415">
        <v>425937.49724538799</v>
      </c>
      <c r="L415">
        <v>59311.005367323793</v>
      </c>
      <c r="M415">
        <v>542272.99463267624</v>
      </c>
      <c r="N415">
        <v>116335.49738728825</v>
      </c>
    </row>
    <row r="416" spans="1:14" x14ac:dyDescent="0.25">
      <c r="A416" t="s">
        <v>420</v>
      </c>
      <c r="B416">
        <v>45240</v>
      </c>
      <c r="C416" t="s">
        <v>615</v>
      </c>
      <c r="D416" t="s">
        <v>619</v>
      </c>
      <c r="E416" t="s">
        <v>622</v>
      </c>
      <c r="F416" t="s">
        <v>625</v>
      </c>
      <c r="G416" t="s">
        <v>633</v>
      </c>
      <c r="H416">
        <v>3</v>
      </c>
      <c r="I416">
        <v>347698</v>
      </c>
      <c r="J416">
        <v>1043094</v>
      </c>
      <c r="K416">
        <v>740788.09446602222</v>
      </c>
      <c r="L416">
        <v>68876.738167701013</v>
      </c>
      <c r="M416">
        <v>974217.26183229894</v>
      </c>
      <c r="N416">
        <v>233429.16736627673</v>
      </c>
    </row>
    <row r="417" spans="1:14" x14ac:dyDescent="0.25">
      <c r="A417" t="s">
        <v>421</v>
      </c>
      <c r="B417">
        <v>45496</v>
      </c>
      <c r="C417" t="s">
        <v>614</v>
      </c>
      <c r="D417" t="s">
        <v>619</v>
      </c>
      <c r="E417" t="s">
        <v>623</v>
      </c>
      <c r="F417" t="s">
        <v>629</v>
      </c>
      <c r="G417" t="s">
        <v>632</v>
      </c>
      <c r="H417">
        <v>4</v>
      </c>
      <c r="I417">
        <v>359066</v>
      </c>
      <c r="J417">
        <v>1436264</v>
      </c>
      <c r="K417">
        <v>1042787.460263319</v>
      </c>
      <c r="L417">
        <v>30678.80126665016</v>
      </c>
      <c r="M417">
        <v>1405585.19873335</v>
      </c>
      <c r="N417">
        <v>362797.73847003106</v>
      </c>
    </row>
    <row r="418" spans="1:14" x14ac:dyDescent="0.25">
      <c r="A418" t="s">
        <v>422</v>
      </c>
      <c r="B418">
        <v>45268</v>
      </c>
      <c r="C418" t="s">
        <v>617</v>
      </c>
      <c r="D418" t="s">
        <v>618</v>
      </c>
      <c r="E418" t="s">
        <v>624</v>
      </c>
      <c r="F418" t="s">
        <v>627</v>
      </c>
      <c r="G418" t="s">
        <v>631</v>
      </c>
      <c r="H418">
        <v>2</v>
      </c>
      <c r="I418">
        <v>325553</v>
      </c>
      <c r="J418">
        <v>651106</v>
      </c>
      <c r="K418">
        <v>496050.20196138008</v>
      </c>
      <c r="L418">
        <v>124153.2670365917</v>
      </c>
      <c r="M418">
        <v>526952.73296340834</v>
      </c>
      <c r="N418">
        <v>30902.531002028263</v>
      </c>
    </row>
    <row r="419" spans="1:14" x14ac:dyDescent="0.25">
      <c r="A419" t="s">
        <v>423</v>
      </c>
      <c r="B419">
        <v>45231</v>
      </c>
      <c r="C419" t="s">
        <v>614</v>
      </c>
      <c r="D419" t="s">
        <v>619</v>
      </c>
      <c r="E419" t="s">
        <v>621</v>
      </c>
      <c r="F419" t="s">
        <v>630</v>
      </c>
      <c r="G419" t="s">
        <v>631</v>
      </c>
      <c r="H419">
        <v>9</v>
      </c>
      <c r="I419">
        <v>250399</v>
      </c>
      <c r="J419">
        <v>2253591</v>
      </c>
      <c r="K419">
        <v>1464806.425398276</v>
      </c>
      <c r="L419">
        <v>27145.38019696125</v>
      </c>
      <c r="M419">
        <v>2226445.6198030389</v>
      </c>
      <c r="N419">
        <v>761639.19440476294</v>
      </c>
    </row>
    <row r="420" spans="1:14" x14ac:dyDescent="0.25">
      <c r="A420" t="s">
        <v>424</v>
      </c>
      <c r="B420">
        <v>45618</v>
      </c>
      <c r="C420" t="s">
        <v>616</v>
      </c>
      <c r="D420" t="s">
        <v>619</v>
      </c>
      <c r="E420" t="s">
        <v>622</v>
      </c>
      <c r="F420" t="s">
        <v>628</v>
      </c>
      <c r="G420" t="s">
        <v>633</v>
      </c>
      <c r="H420">
        <v>7</v>
      </c>
      <c r="I420">
        <v>272472</v>
      </c>
      <c r="J420">
        <v>1907304</v>
      </c>
      <c r="K420">
        <v>1371494.1600559531</v>
      </c>
      <c r="L420">
        <v>113541.9130014183</v>
      </c>
      <c r="M420">
        <v>1793762.0869985819</v>
      </c>
      <c r="N420">
        <v>422267.92694262881</v>
      </c>
    </row>
    <row r="421" spans="1:14" x14ac:dyDescent="0.25">
      <c r="A421" t="s">
        <v>425</v>
      </c>
      <c r="B421">
        <v>45608</v>
      </c>
      <c r="C421" t="s">
        <v>615</v>
      </c>
      <c r="D421" t="s">
        <v>618</v>
      </c>
      <c r="E421" t="s">
        <v>623</v>
      </c>
      <c r="F421" t="s">
        <v>627</v>
      </c>
      <c r="G421" t="s">
        <v>632</v>
      </c>
      <c r="H421">
        <v>7</v>
      </c>
      <c r="I421">
        <v>348783</v>
      </c>
      <c r="J421">
        <v>2441481</v>
      </c>
      <c r="K421">
        <v>1674250.040734116</v>
      </c>
      <c r="L421">
        <v>145544.59337974861</v>
      </c>
      <c r="M421">
        <v>2295936.406620251</v>
      </c>
      <c r="N421">
        <v>621686.36588613503</v>
      </c>
    </row>
    <row r="422" spans="1:14" x14ac:dyDescent="0.25">
      <c r="A422" t="s">
        <v>426</v>
      </c>
      <c r="B422">
        <v>44980</v>
      </c>
      <c r="C422" t="s">
        <v>615</v>
      </c>
      <c r="D422" t="s">
        <v>619</v>
      </c>
      <c r="E422" t="s">
        <v>620</v>
      </c>
      <c r="F422" t="s">
        <v>625</v>
      </c>
      <c r="G422" t="s">
        <v>632</v>
      </c>
      <c r="H422">
        <v>6</v>
      </c>
      <c r="I422">
        <v>281182</v>
      </c>
      <c r="J422">
        <v>1687092</v>
      </c>
      <c r="K422">
        <v>938009.62479394558</v>
      </c>
      <c r="L422">
        <v>108109.2893273735</v>
      </c>
      <c r="M422">
        <v>1578982.710672627</v>
      </c>
      <c r="N422">
        <v>640973.08587868139</v>
      </c>
    </row>
    <row r="423" spans="1:14" x14ac:dyDescent="0.25">
      <c r="A423" t="s">
        <v>427</v>
      </c>
      <c r="B423">
        <v>45370</v>
      </c>
      <c r="C423" t="s">
        <v>616</v>
      </c>
      <c r="D423" t="s">
        <v>619</v>
      </c>
      <c r="E423" t="s">
        <v>624</v>
      </c>
      <c r="F423" t="s">
        <v>628</v>
      </c>
      <c r="G423" t="s">
        <v>633</v>
      </c>
      <c r="H423">
        <v>3</v>
      </c>
      <c r="I423">
        <v>331836</v>
      </c>
      <c r="J423">
        <v>995508</v>
      </c>
      <c r="K423">
        <v>505426.27409539639</v>
      </c>
      <c r="L423">
        <v>32709.773354485918</v>
      </c>
      <c r="M423">
        <v>962798.22664551414</v>
      </c>
      <c r="N423">
        <v>457371.95255011774</v>
      </c>
    </row>
    <row r="424" spans="1:14" x14ac:dyDescent="0.25">
      <c r="A424" t="s">
        <v>428</v>
      </c>
      <c r="B424">
        <v>45539</v>
      </c>
      <c r="C424" t="s">
        <v>616</v>
      </c>
      <c r="D424" t="s">
        <v>619</v>
      </c>
      <c r="E424" t="s">
        <v>623</v>
      </c>
      <c r="F424" t="s">
        <v>630</v>
      </c>
      <c r="G424" t="s">
        <v>631</v>
      </c>
      <c r="H424">
        <v>6</v>
      </c>
      <c r="I424">
        <v>139037</v>
      </c>
      <c r="J424">
        <v>834222</v>
      </c>
      <c r="K424">
        <v>488322.2051526549</v>
      </c>
      <c r="L424">
        <v>130666.0990456057</v>
      </c>
      <c r="M424">
        <v>703555.90095439425</v>
      </c>
      <c r="N424">
        <v>215233.69580173935</v>
      </c>
    </row>
    <row r="425" spans="1:14" x14ac:dyDescent="0.25">
      <c r="A425" t="s">
        <v>429</v>
      </c>
      <c r="B425">
        <v>45190</v>
      </c>
      <c r="C425" t="s">
        <v>617</v>
      </c>
      <c r="D425" t="s">
        <v>619</v>
      </c>
      <c r="E425" t="s">
        <v>620</v>
      </c>
      <c r="F425" t="s">
        <v>630</v>
      </c>
      <c r="G425" t="s">
        <v>631</v>
      </c>
      <c r="H425">
        <v>8</v>
      </c>
      <c r="I425">
        <v>259912</v>
      </c>
      <c r="J425">
        <v>2079296</v>
      </c>
      <c r="K425">
        <v>1316007.4640358959</v>
      </c>
      <c r="L425">
        <v>50941.862878886714</v>
      </c>
      <c r="M425">
        <v>2028354.137121113</v>
      </c>
      <c r="N425">
        <v>712346.67308521713</v>
      </c>
    </row>
    <row r="426" spans="1:14" x14ac:dyDescent="0.25">
      <c r="A426" t="s">
        <v>430</v>
      </c>
      <c r="B426">
        <v>44979</v>
      </c>
      <c r="C426" t="s">
        <v>615</v>
      </c>
      <c r="D426" t="s">
        <v>618</v>
      </c>
      <c r="E426" t="s">
        <v>623</v>
      </c>
      <c r="F426" t="s">
        <v>629</v>
      </c>
      <c r="G426" t="s">
        <v>631</v>
      </c>
      <c r="H426">
        <v>8</v>
      </c>
      <c r="I426">
        <v>235272</v>
      </c>
      <c r="J426">
        <v>1882176</v>
      </c>
      <c r="K426">
        <v>1289538.5994182851</v>
      </c>
      <c r="L426">
        <v>239001.21521965269</v>
      </c>
      <c r="M426">
        <v>1643174.784780347</v>
      </c>
      <c r="N426">
        <v>353636.18536206195</v>
      </c>
    </row>
    <row r="427" spans="1:14" x14ac:dyDescent="0.25">
      <c r="A427" t="s">
        <v>431</v>
      </c>
      <c r="B427">
        <v>45498</v>
      </c>
      <c r="C427" t="s">
        <v>614</v>
      </c>
      <c r="D427" t="s">
        <v>618</v>
      </c>
      <c r="E427" t="s">
        <v>622</v>
      </c>
      <c r="F427" t="s">
        <v>628</v>
      </c>
      <c r="G427" t="s">
        <v>633</v>
      </c>
      <c r="H427">
        <v>9</v>
      </c>
      <c r="I427">
        <v>274135</v>
      </c>
      <c r="J427">
        <v>2467215</v>
      </c>
      <c r="K427">
        <v>1862717.2228822401</v>
      </c>
      <c r="L427">
        <v>61110.954955798683</v>
      </c>
      <c r="M427">
        <v>2406104.045044201</v>
      </c>
      <c r="N427">
        <v>543386.82216196088</v>
      </c>
    </row>
    <row r="428" spans="1:14" x14ac:dyDescent="0.25">
      <c r="A428" t="s">
        <v>432</v>
      </c>
      <c r="B428">
        <v>45546</v>
      </c>
      <c r="C428" t="s">
        <v>613</v>
      </c>
      <c r="D428" t="s">
        <v>618</v>
      </c>
      <c r="E428" t="s">
        <v>622</v>
      </c>
      <c r="F428" t="s">
        <v>629</v>
      </c>
      <c r="G428" t="s">
        <v>631</v>
      </c>
      <c r="H428">
        <v>1</v>
      </c>
      <c r="I428">
        <v>238487</v>
      </c>
      <c r="J428">
        <v>238487</v>
      </c>
      <c r="K428">
        <v>133284.11567203101</v>
      </c>
      <c r="L428">
        <v>3364.366520526286</v>
      </c>
      <c r="M428">
        <v>235122.6334794737</v>
      </c>
      <c r="N428">
        <v>101838.51780744269</v>
      </c>
    </row>
    <row r="429" spans="1:14" x14ac:dyDescent="0.25">
      <c r="A429" t="s">
        <v>433</v>
      </c>
      <c r="B429">
        <v>44931</v>
      </c>
      <c r="C429" t="s">
        <v>613</v>
      </c>
      <c r="D429" t="s">
        <v>619</v>
      </c>
      <c r="E429" t="s">
        <v>622</v>
      </c>
      <c r="F429" t="s">
        <v>627</v>
      </c>
      <c r="G429" t="s">
        <v>633</v>
      </c>
      <c r="H429">
        <v>1</v>
      </c>
      <c r="I429">
        <v>68074</v>
      </c>
      <c r="J429">
        <v>68074</v>
      </c>
      <c r="K429">
        <v>36601.002919264683</v>
      </c>
      <c r="L429">
        <v>12381.70080678247</v>
      </c>
      <c r="M429">
        <v>55692.299193217528</v>
      </c>
      <c r="N429">
        <v>19091.296273952845</v>
      </c>
    </row>
    <row r="430" spans="1:14" x14ac:dyDescent="0.25">
      <c r="A430" t="s">
        <v>434</v>
      </c>
      <c r="B430">
        <v>45029</v>
      </c>
      <c r="C430" t="s">
        <v>616</v>
      </c>
      <c r="D430" t="s">
        <v>619</v>
      </c>
      <c r="E430" t="s">
        <v>624</v>
      </c>
      <c r="F430" t="s">
        <v>626</v>
      </c>
      <c r="G430" t="s">
        <v>633</v>
      </c>
      <c r="H430">
        <v>3</v>
      </c>
      <c r="I430">
        <v>196621</v>
      </c>
      <c r="J430">
        <v>589863</v>
      </c>
      <c r="K430">
        <v>465427.85167711478</v>
      </c>
      <c r="L430">
        <v>22429.984897410141</v>
      </c>
      <c r="M430">
        <v>567433.01510258985</v>
      </c>
      <c r="N430">
        <v>102005.16342547507</v>
      </c>
    </row>
    <row r="431" spans="1:14" x14ac:dyDescent="0.25">
      <c r="A431" t="s">
        <v>435</v>
      </c>
      <c r="B431">
        <v>45122</v>
      </c>
      <c r="C431" t="s">
        <v>617</v>
      </c>
      <c r="D431" t="s">
        <v>618</v>
      </c>
      <c r="E431" t="s">
        <v>622</v>
      </c>
      <c r="F431" t="s">
        <v>626</v>
      </c>
      <c r="G431" t="s">
        <v>632</v>
      </c>
      <c r="H431">
        <v>3</v>
      </c>
      <c r="I431">
        <v>342107</v>
      </c>
      <c r="J431">
        <v>1026321</v>
      </c>
      <c r="K431">
        <v>546427.02006712602</v>
      </c>
      <c r="L431">
        <v>168573.25597557411</v>
      </c>
      <c r="M431">
        <v>857747.74402442598</v>
      </c>
      <c r="N431">
        <v>311320.72395729995</v>
      </c>
    </row>
    <row r="432" spans="1:14" x14ac:dyDescent="0.25">
      <c r="A432" t="s">
        <v>436</v>
      </c>
      <c r="B432">
        <v>45276</v>
      </c>
      <c r="C432" t="s">
        <v>613</v>
      </c>
      <c r="D432" t="s">
        <v>619</v>
      </c>
      <c r="E432" t="s">
        <v>620</v>
      </c>
      <c r="F432" t="s">
        <v>626</v>
      </c>
      <c r="G432" t="s">
        <v>631</v>
      </c>
      <c r="H432">
        <v>8</v>
      </c>
      <c r="I432">
        <v>277434</v>
      </c>
      <c r="J432">
        <v>2219472</v>
      </c>
      <c r="K432">
        <v>1428335.259705883</v>
      </c>
      <c r="L432">
        <v>241758.59375157941</v>
      </c>
      <c r="M432">
        <v>1977713.40624842</v>
      </c>
      <c r="N432">
        <v>549378.14654253703</v>
      </c>
    </row>
    <row r="433" spans="1:14" x14ac:dyDescent="0.25">
      <c r="A433" t="s">
        <v>437</v>
      </c>
      <c r="B433">
        <v>44973</v>
      </c>
      <c r="C433" t="s">
        <v>615</v>
      </c>
      <c r="D433" t="s">
        <v>619</v>
      </c>
      <c r="E433" t="s">
        <v>623</v>
      </c>
      <c r="F433" t="s">
        <v>628</v>
      </c>
      <c r="G433" t="s">
        <v>633</v>
      </c>
      <c r="H433">
        <v>1</v>
      </c>
      <c r="I433">
        <v>282679</v>
      </c>
      <c r="J433">
        <v>282679</v>
      </c>
      <c r="K433">
        <v>190997.47078746851</v>
      </c>
      <c r="L433">
        <v>4401.680621297477</v>
      </c>
      <c r="M433">
        <v>278277.31937870261</v>
      </c>
      <c r="N433">
        <v>87279.848591234098</v>
      </c>
    </row>
    <row r="434" spans="1:14" x14ac:dyDescent="0.25">
      <c r="A434" t="s">
        <v>438</v>
      </c>
      <c r="B434">
        <v>45582</v>
      </c>
      <c r="C434" t="s">
        <v>616</v>
      </c>
      <c r="D434" t="s">
        <v>619</v>
      </c>
      <c r="E434" t="s">
        <v>621</v>
      </c>
      <c r="F434" t="s">
        <v>626</v>
      </c>
      <c r="G434" t="s">
        <v>631</v>
      </c>
      <c r="H434">
        <v>2</v>
      </c>
      <c r="I434">
        <v>102265</v>
      </c>
      <c r="J434">
        <v>204530</v>
      </c>
      <c r="K434">
        <v>135483.19309245949</v>
      </c>
      <c r="L434">
        <v>39083.56371896559</v>
      </c>
      <c r="M434">
        <v>165446.4362810344</v>
      </c>
      <c r="N434">
        <v>29963.24318857491</v>
      </c>
    </row>
    <row r="435" spans="1:14" x14ac:dyDescent="0.25">
      <c r="A435" t="s">
        <v>439</v>
      </c>
      <c r="B435">
        <v>45195</v>
      </c>
      <c r="C435" t="s">
        <v>614</v>
      </c>
      <c r="D435" t="s">
        <v>619</v>
      </c>
      <c r="E435" t="s">
        <v>620</v>
      </c>
      <c r="F435" t="s">
        <v>627</v>
      </c>
      <c r="G435" t="s">
        <v>631</v>
      </c>
      <c r="H435">
        <v>2</v>
      </c>
      <c r="I435">
        <v>66061</v>
      </c>
      <c r="J435">
        <v>132122</v>
      </c>
      <c r="K435">
        <v>69471.022195451966</v>
      </c>
      <c r="L435">
        <v>6525.8006610605644</v>
      </c>
      <c r="M435">
        <v>125596.1993389394</v>
      </c>
      <c r="N435">
        <v>56125.177143487439</v>
      </c>
    </row>
    <row r="436" spans="1:14" x14ac:dyDescent="0.25">
      <c r="A436" t="s">
        <v>440</v>
      </c>
      <c r="B436">
        <v>45296</v>
      </c>
      <c r="C436" t="s">
        <v>616</v>
      </c>
      <c r="D436" t="s">
        <v>618</v>
      </c>
      <c r="E436" t="s">
        <v>620</v>
      </c>
      <c r="F436" t="s">
        <v>629</v>
      </c>
      <c r="G436" t="s">
        <v>632</v>
      </c>
      <c r="H436">
        <v>3</v>
      </c>
      <c r="I436">
        <v>209882</v>
      </c>
      <c r="J436">
        <v>629646</v>
      </c>
      <c r="K436">
        <v>325595.0304884169</v>
      </c>
      <c r="L436">
        <v>108254.45062397741</v>
      </c>
      <c r="M436">
        <v>521391.54937602248</v>
      </c>
      <c r="N436">
        <v>195796.51888760558</v>
      </c>
    </row>
    <row r="437" spans="1:14" x14ac:dyDescent="0.25">
      <c r="A437" t="s">
        <v>441</v>
      </c>
      <c r="B437">
        <v>45562</v>
      </c>
      <c r="C437" t="s">
        <v>614</v>
      </c>
      <c r="D437" t="s">
        <v>618</v>
      </c>
      <c r="E437" t="s">
        <v>622</v>
      </c>
      <c r="F437" t="s">
        <v>628</v>
      </c>
      <c r="G437" t="s">
        <v>631</v>
      </c>
      <c r="H437">
        <v>6</v>
      </c>
      <c r="I437">
        <v>163502</v>
      </c>
      <c r="J437">
        <v>981012</v>
      </c>
      <c r="K437">
        <v>521550.1524421217</v>
      </c>
      <c r="L437">
        <v>33120.928278945379</v>
      </c>
      <c r="M437">
        <v>947891.07172105461</v>
      </c>
      <c r="N437">
        <v>426340.91927893291</v>
      </c>
    </row>
    <row r="438" spans="1:14" x14ac:dyDescent="0.25">
      <c r="A438" t="s">
        <v>442</v>
      </c>
      <c r="B438">
        <v>45032</v>
      </c>
      <c r="C438" t="s">
        <v>616</v>
      </c>
      <c r="D438" t="s">
        <v>618</v>
      </c>
      <c r="E438" t="s">
        <v>624</v>
      </c>
      <c r="F438" t="s">
        <v>629</v>
      </c>
      <c r="G438" t="s">
        <v>632</v>
      </c>
      <c r="H438">
        <v>1</v>
      </c>
      <c r="I438">
        <v>334944</v>
      </c>
      <c r="J438">
        <v>334944</v>
      </c>
      <c r="K438">
        <v>226313.72435610849</v>
      </c>
      <c r="L438">
        <v>57204.608943224157</v>
      </c>
      <c r="M438">
        <v>277739.39105677581</v>
      </c>
      <c r="N438">
        <v>51425.666700667323</v>
      </c>
    </row>
    <row r="439" spans="1:14" x14ac:dyDescent="0.25">
      <c r="A439" t="s">
        <v>443</v>
      </c>
      <c r="B439">
        <v>45596</v>
      </c>
      <c r="C439" t="s">
        <v>616</v>
      </c>
      <c r="D439" t="s">
        <v>619</v>
      </c>
      <c r="E439" t="s">
        <v>623</v>
      </c>
      <c r="F439" t="s">
        <v>628</v>
      </c>
      <c r="G439" t="s">
        <v>633</v>
      </c>
      <c r="H439">
        <v>2</v>
      </c>
      <c r="I439">
        <v>428336</v>
      </c>
      <c r="J439">
        <v>856672</v>
      </c>
      <c r="K439">
        <v>568233.50707384071</v>
      </c>
      <c r="L439">
        <v>2266.550721840802</v>
      </c>
      <c r="M439">
        <v>854405.44927815918</v>
      </c>
      <c r="N439">
        <v>286171.94220431847</v>
      </c>
    </row>
    <row r="440" spans="1:14" x14ac:dyDescent="0.25">
      <c r="A440" t="s">
        <v>444</v>
      </c>
      <c r="B440">
        <v>45585</v>
      </c>
      <c r="C440" t="s">
        <v>616</v>
      </c>
      <c r="D440" t="s">
        <v>618</v>
      </c>
      <c r="E440" t="s">
        <v>624</v>
      </c>
      <c r="F440" t="s">
        <v>629</v>
      </c>
      <c r="G440" t="s">
        <v>631</v>
      </c>
      <c r="H440">
        <v>1</v>
      </c>
      <c r="I440">
        <v>306505</v>
      </c>
      <c r="J440">
        <v>306505</v>
      </c>
      <c r="K440">
        <v>174745.31643896669</v>
      </c>
      <c r="L440">
        <v>31372.653768165739</v>
      </c>
      <c r="M440">
        <v>275132.34623183432</v>
      </c>
      <c r="N440">
        <v>100387.02979286763</v>
      </c>
    </row>
    <row r="441" spans="1:14" x14ac:dyDescent="0.25">
      <c r="A441" t="s">
        <v>445</v>
      </c>
      <c r="B441">
        <v>45583</v>
      </c>
      <c r="C441" t="s">
        <v>614</v>
      </c>
      <c r="D441" t="s">
        <v>618</v>
      </c>
      <c r="E441" t="s">
        <v>623</v>
      </c>
      <c r="F441" t="s">
        <v>630</v>
      </c>
      <c r="G441" t="s">
        <v>633</v>
      </c>
      <c r="H441">
        <v>5</v>
      </c>
      <c r="I441">
        <v>157228</v>
      </c>
      <c r="J441">
        <v>786140</v>
      </c>
      <c r="K441">
        <v>543483.92916114803</v>
      </c>
      <c r="L441">
        <v>120977.9178772926</v>
      </c>
      <c r="M441">
        <v>665162.08212270751</v>
      </c>
      <c r="N441">
        <v>121678.15296155948</v>
      </c>
    </row>
    <row r="442" spans="1:14" x14ac:dyDescent="0.25">
      <c r="A442" t="s">
        <v>446</v>
      </c>
      <c r="B442">
        <v>45046</v>
      </c>
      <c r="C442" t="s">
        <v>614</v>
      </c>
      <c r="D442" t="s">
        <v>619</v>
      </c>
      <c r="E442" t="s">
        <v>623</v>
      </c>
      <c r="F442" t="s">
        <v>629</v>
      </c>
      <c r="G442" t="s">
        <v>631</v>
      </c>
      <c r="H442">
        <v>7</v>
      </c>
      <c r="I442">
        <v>256548</v>
      </c>
      <c r="J442">
        <v>1795836</v>
      </c>
      <c r="K442">
        <v>1339730.0227864829</v>
      </c>
      <c r="L442">
        <v>335747.88859043398</v>
      </c>
      <c r="M442">
        <v>1460088.1114095659</v>
      </c>
      <c r="N442">
        <v>120358.08862308296</v>
      </c>
    </row>
    <row r="443" spans="1:14" x14ac:dyDescent="0.25">
      <c r="A443" t="s">
        <v>447</v>
      </c>
      <c r="B443">
        <v>45530</v>
      </c>
      <c r="C443" t="s">
        <v>616</v>
      </c>
      <c r="D443" t="s">
        <v>619</v>
      </c>
      <c r="E443" t="s">
        <v>624</v>
      </c>
      <c r="F443" t="s">
        <v>626</v>
      </c>
      <c r="G443" t="s">
        <v>633</v>
      </c>
      <c r="H443">
        <v>8</v>
      </c>
      <c r="I443">
        <v>340198</v>
      </c>
      <c r="J443">
        <v>2721584</v>
      </c>
      <c r="K443">
        <v>1394740.18955654</v>
      </c>
      <c r="L443">
        <v>494893.99733307923</v>
      </c>
      <c r="M443">
        <v>2226690.0026669209</v>
      </c>
      <c r="N443">
        <v>831949.8131103809</v>
      </c>
    </row>
    <row r="444" spans="1:14" x14ac:dyDescent="0.25">
      <c r="A444" t="s">
        <v>448</v>
      </c>
      <c r="B444">
        <v>44984</v>
      </c>
      <c r="C444" t="s">
        <v>613</v>
      </c>
      <c r="D444" t="s">
        <v>618</v>
      </c>
      <c r="E444" t="s">
        <v>620</v>
      </c>
      <c r="F444" t="s">
        <v>630</v>
      </c>
      <c r="G444" t="s">
        <v>631</v>
      </c>
      <c r="H444">
        <v>1</v>
      </c>
      <c r="I444">
        <v>226469</v>
      </c>
      <c r="J444">
        <v>226469</v>
      </c>
      <c r="K444">
        <v>147077.7970556145</v>
      </c>
      <c r="L444">
        <v>37123.924916317119</v>
      </c>
      <c r="M444">
        <v>189345.0750836829</v>
      </c>
      <c r="N444">
        <v>42267.278028068395</v>
      </c>
    </row>
    <row r="445" spans="1:14" x14ac:dyDescent="0.25">
      <c r="A445" t="s">
        <v>449</v>
      </c>
      <c r="B445">
        <v>45272</v>
      </c>
      <c r="C445" t="s">
        <v>617</v>
      </c>
      <c r="D445" t="s">
        <v>618</v>
      </c>
      <c r="E445" t="s">
        <v>623</v>
      </c>
      <c r="F445" t="s">
        <v>629</v>
      </c>
      <c r="G445" t="s">
        <v>631</v>
      </c>
      <c r="H445">
        <v>7</v>
      </c>
      <c r="I445">
        <v>63233</v>
      </c>
      <c r="J445">
        <v>442631</v>
      </c>
      <c r="K445">
        <v>312848.54710582778</v>
      </c>
      <c r="L445">
        <v>78628.205058386549</v>
      </c>
      <c r="M445">
        <v>364002.79494161351</v>
      </c>
      <c r="N445">
        <v>51154.247835785733</v>
      </c>
    </row>
    <row r="446" spans="1:14" x14ac:dyDescent="0.25">
      <c r="A446" t="s">
        <v>450</v>
      </c>
      <c r="B446">
        <v>45400</v>
      </c>
      <c r="C446" t="s">
        <v>617</v>
      </c>
      <c r="D446" t="s">
        <v>618</v>
      </c>
      <c r="E446" t="s">
        <v>624</v>
      </c>
      <c r="F446" t="s">
        <v>628</v>
      </c>
      <c r="G446" t="s">
        <v>631</v>
      </c>
      <c r="H446">
        <v>5</v>
      </c>
      <c r="I446">
        <v>292277</v>
      </c>
      <c r="J446">
        <v>1461385</v>
      </c>
      <c r="K446">
        <v>841309.95966222044</v>
      </c>
      <c r="L446">
        <v>58227.33211740321</v>
      </c>
      <c r="M446">
        <v>1403157.6678825971</v>
      </c>
      <c r="N446">
        <v>561847.70822037663</v>
      </c>
    </row>
    <row r="447" spans="1:14" x14ac:dyDescent="0.25">
      <c r="A447" t="s">
        <v>451</v>
      </c>
      <c r="B447">
        <v>45043</v>
      </c>
      <c r="C447" t="s">
        <v>617</v>
      </c>
      <c r="D447" t="s">
        <v>618</v>
      </c>
      <c r="E447" t="s">
        <v>623</v>
      </c>
      <c r="F447" t="s">
        <v>628</v>
      </c>
      <c r="G447" t="s">
        <v>631</v>
      </c>
      <c r="H447">
        <v>1</v>
      </c>
      <c r="I447">
        <v>206140</v>
      </c>
      <c r="J447">
        <v>206140</v>
      </c>
      <c r="K447">
        <v>122103.1683251389</v>
      </c>
      <c r="L447">
        <v>11716.350143603149</v>
      </c>
      <c r="M447">
        <v>194423.64985639681</v>
      </c>
      <c r="N447">
        <v>72320.481531257901</v>
      </c>
    </row>
    <row r="448" spans="1:14" x14ac:dyDescent="0.25">
      <c r="A448" t="s">
        <v>452</v>
      </c>
      <c r="B448">
        <v>45053</v>
      </c>
      <c r="C448" t="s">
        <v>614</v>
      </c>
      <c r="D448" t="s">
        <v>619</v>
      </c>
      <c r="E448" t="s">
        <v>621</v>
      </c>
      <c r="F448" t="s">
        <v>628</v>
      </c>
      <c r="G448" t="s">
        <v>631</v>
      </c>
      <c r="H448">
        <v>3</v>
      </c>
      <c r="I448">
        <v>377871</v>
      </c>
      <c r="J448">
        <v>1133613</v>
      </c>
      <c r="K448">
        <v>775494.87123645132</v>
      </c>
      <c r="L448">
        <v>65515.695288267183</v>
      </c>
      <c r="M448">
        <v>1068097.304711733</v>
      </c>
      <c r="N448">
        <v>292602.43347528169</v>
      </c>
    </row>
    <row r="449" spans="1:14" x14ac:dyDescent="0.25">
      <c r="A449" t="s">
        <v>453</v>
      </c>
      <c r="B449">
        <v>45319</v>
      </c>
      <c r="C449" t="s">
        <v>614</v>
      </c>
      <c r="D449" t="s">
        <v>618</v>
      </c>
      <c r="E449" t="s">
        <v>620</v>
      </c>
      <c r="F449" t="s">
        <v>625</v>
      </c>
      <c r="G449" t="s">
        <v>631</v>
      </c>
      <c r="H449">
        <v>7</v>
      </c>
      <c r="I449">
        <v>402754</v>
      </c>
      <c r="J449">
        <v>2819278</v>
      </c>
      <c r="K449">
        <v>2169097.765468841</v>
      </c>
      <c r="L449">
        <v>212603.97049732151</v>
      </c>
      <c r="M449">
        <v>2606674.0295026791</v>
      </c>
      <c r="N449">
        <v>437576.26403383818</v>
      </c>
    </row>
    <row r="450" spans="1:14" x14ac:dyDescent="0.25">
      <c r="A450" t="s">
        <v>454</v>
      </c>
      <c r="B450">
        <v>45567</v>
      </c>
      <c r="C450" t="s">
        <v>613</v>
      </c>
      <c r="D450" t="s">
        <v>618</v>
      </c>
      <c r="E450" t="s">
        <v>622</v>
      </c>
      <c r="F450" t="s">
        <v>627</v>
      </c>
      <c r="G450" t="s">
        <v>631</v>
      </c>
      <c r="H450">
        <v>1</v>
      </c>
      <c r="I450">
        <v>382597</v>
      </c>
      <c r="J450">
        <v>382597</v>
      </c>
      <c r="K450">
        <v>284260.89603038848</v>
      </c>
      <c r="L450">
        <v>30096.661705472408</v>
      </c>
      <c r="M450">
        <v>352500.33829452761</v>
      </c>
      <c r="N450">
        <v>68239.442264139128</v>
      </c>
    </row>
    <row r="451" spans="1:14" x14ac:dyDescent="0.25">
      <c r="A451" t="s">
        <v>455</v>
      </c>
      <c r="B451">
        <v>44984</v>
      </c>
      <c r="C451" t="s">
        <v>617</v>
      </c>
      <c r="D451" t="s">
        <v>619</v>
      </c>
      <c r="E451" t="s">
        <v>623</v>
      </c>
      <c r="F451" t="s">
        <v>628</v>
      </c>
      <c r="G451" t="s">
        <v>631</v>
      </c>
      <c r="H451">
        <v>7</v>
      </c>
      <c r="I451">
        <v>154135</v>
      </c>
      <c r="J451">
        <v>1078945</v>
      </c>
      <c r="K451">
        <v>728222.13027392002</v>
      </c>
      <c r="L451">
        <v>117509.0489519078</v>
      </c>
      <c r="M451">
        <v>961435.95104809222</v>
      </c>
      <c r="N451">
        <v>233213.8207741722</v>
      </c>
    </row>
    <row r="452" spans="1:14" x14ac:dyDescent="0.25">
      <c r="A452" t="s">
        <v>456</v>
      </c>
      <c r="B452">
        <v>45560</v>
      </c>
      <c r="C452" t="s">
        <v>617</v>
      </c>
      <c r="D452" t="s">
        <v>618</v>
      </c>
      <c r="E452" t="s">
        <v>621</v>
      </c>
      <c r="F452" t="s">
        <v>630</v>
      </c>
      <c r="G452" t="s">
        <v>631</v>
      </c>
      <c r="H452">
        <v>5</v>
      </c>
      <c r="I452">
        <v>469048</v>
      </c>
      <c r="J452">
        <v>2345240</v>
      </c>
      <c r="K452">
        <v>1686383.554405903</v>
      </c>
      <c r="L452">
        <v>74991.283247502608</v>
      </c>
      <c r="M452">
        <v>2270248.716752497</v>
      </c>
      <c r="N452">
        <v>583865.16234659404</v>
      </c>
    </row>
    <row r="453" spans="1:14" x14ac:dyDescent="0.25">
      <c r="A453" t="s">
        <v>457</v>
      </c>
      <c r="B453">
        <v>45439</v>
      </c>
      <c r="C453" t="s">
        <v>616</v>
      </c>
      <c r="D453" t="s">
        <v>619</v>
      </c>
      <c r="E453" t="s">
        <v>622</v>
      </c>
      <c r="F453" t="s">
        <v>628</v>
      </c>
      <c r="G453" t="s">
        <v>633</v>
      </c>
      <c r="H453">
        <v>1</v>
      </c>
      <c r="I453">
        <v>420608</v>
      </c>
      <c r="J453">
        <v>420608</v>
      </c>
      <c r="K453">
        <v>256338.17486474861</v>
      </c>
      <c r="L453">
        <v>58148.775352339479</v>
      </c>
      <c r="M453">
        <v>362459.22464766051</v>
      </c>
      <c r="N453">
        <v>106121.0497829119</v>
      </c>
    </row>
    <row r="454" spans="1:14" x14ac:dyDescent="0.25">
      <c r="A454" t="s">
        <v>458</v>
      </c>
      <c r="B454">
        <v>45022</v>
      </c>
      <c r="C454" t="s">
        <v>614</v>
      </c>
      <c r="D454" t="s">
        <v>619</v>
      </c>
      <c r="E454" t="s">
        <v>622</v>
      </c>
      <c r="F454" t="s">
        <v>625</v>
      </c>
      <c r="G454" t="s">
        <v>632</v>
      </c>
      <c r="H454">
        <v>1</v>
      </c>
      <c r="I454">
        <v>267314</v>
      </c>
      <c r="J454">
        <v>267314</v>
      </c>
      <c r="K454">
        <v>185058.7177534574</v>
      </c>
      <c r="L454">
        <v>8958.5763775289706</v>
      </c>
      <c r="M454">
        <v>258355.42362247099</v>
      </c>
      <c r="N454">
        <v>73296.705869013589</v>
      </c>
    </row>
    <row r="455" spans="1:14" x14ac:dyDescent="0.25">
      <c r="A455" t="s">
        <v>459</v>
      </c>
      <c r="B455">
        <v>45564</v>
      </c>
      <c r="C455" t="s">
        <v>617</v>
      </c>
      <c r="D455" t="s">
        <v>619</v>
      </c>
      <c r="E455" t="s">
        <v>623</v>
      </c>
      <c r="F455" t="s">
        <v>626</v>
      </c>
      <c r="G455" t="s">
        <v>631</v>
      </c>
      <c r="H455">
        <v>1</v>
      </c>
      <c r="I455">
        <v>63682</v>
      </c>
      <c r="J455">
        <v>63682</v>
      </c>
      <c r="K455">
        <v>40747.212825855517</v>
      </c>
      <c r="L455">
        <v>3952.2129514763592</v>
      </c>
      <c r="M455">
        <v>59729.787048523642</v>
      </c>
      <c r="N455">
        <v>18982.574222668125</v>
      </c>
    </row>
    <row r="456" spans="1:14" x14ac:dyDescent="0.25">
      <c r="A456" t="s">
        <v>460</v>
      </c>
      <c r="B456">
        <v>45044</v>
      </c>
      <c r="C456" t="s">
        <v>613</v>
      </c>
      <c r="D456" t="s">
        <v>618</v>
      </c>
      <c r="E456" t="s">
        <v>624</v>
      </c>
      <c r="F456" t="s">
        <v>630</v>
      </c>
      <c r="G456" t="s">
        <v>632</v>
      </c>
      <c r="H456">
        <v>9</v>
      </c>
      <c r="I456">
        <v>204455</v>
      </c>
      <c r="J456">
        <v>1840095</v>
      </c>
      <c r="K456">
        <v>1024897.660504463</v>
      </c>
      <c r="L456">
        <v>185240.57162054619</v>
      </c>
      <c r="M456">
        <v>1654854.428379454</v>
      </c>
      <c r="N456">
        <v>629956.76787499094</v>
      </c>
    </row>
    <row r="457" spans="1:14" x14ac:dyDescent="0.25">
      <c r="A457" t="s">
        <v>461</v>
      </c>
      <c r="B457">
        <v>45486</v>
      </c>
      <c r="C457" t="s">
        <v>613</v>
      </c>
      <c r="D457" t="s">
        <v>618</v>
      </c>
      <c r="E457" t="s">
        <v>623</v>
      </c>
      <c r="F457" t="s">
        <v>625</v>
      </c>
      <c r="G457" t="s">
        <v>631</v>
      </c>
      <c r="H457">
        <v>3</v>
      </c>
      <c r="I457">
        <v>370304</v>
      </c>
      <c r="J457">
        <v>1110912</v>
      </c>
      <c r="K457">
        <v>789326.84079285944</v>
      </c>
      <c r="L457">
        <v>176955.07541663389</v>
      </c>
      <c r="M457">
        <v>933956.92458336614</v>
      </c>
      <c r="N457">
        <v>144630.0837905067</v>
      </c>
    </row>
    <row r="458" spans="1:14" x14ac:dyDescent="0.25">
      <c r="A458" t="s">
        <v>462</v>
      </c>
      <c r="B458">
        <v>45527</v>
      </c>
      <c r="C458" t="s">
        <v>617</v>
      </c>
      <c r="D458" t="s">
        <v>619</v>
      </c>
      <c r="E458" t="s">
        <v>621</v>
      </c>
      <c r="F458" t="s">
        <v>626</v>
      </c>
      <c r="G458" t="s">
        <v>631</v>
      </c>
      <c r="H458">
        <v>5</v>
      </c>
      <c r="I458">
        <v>274404</v>
      </c>
      <c r="J458">
        <v>1372020</v>
      </c>
      <c r="K458">
        <v>915054.18352059927</v>
      </c>
      <c r="L458">
        <v>202913.3154776397</v>
      </c>
      <c r="M458">
        <v>1169106.6845223601</v>
      </c>
      <c r="N458">
        <v>254052.50100176083</v>
      </c>
    </row>
    <row r="459" spans="1:14" x14ac:dyDescent="0.25">
      <c r="A459" t="s">
        <v>463</v>
      </c>
      <c r="B459">
        <v>45414</v>
      </c>
      <c r="C459" t="s">
        <v>614</v>
      </c>
      <c r="D459" t="s">
        <v>618</v>
      </c>
      <c r="E459" t="s">
        <v>622</v>
      </c>
      <c r="F459" t="s">
        <v>630</v>
      </c>
      <c r="G459" t="s">
        <v>633</v>
      </c>
      <c r="H459">
        <v>9</v>
      </c>
      <c r="I459">
        <v>335810</v>
      </c>
      <c r="J459">
        <v>3022290</v>
      </c>
      <c r="K459">
        <v>1836302.5262767561</v>
      </c>
      <c r="L459">
        <v>390198.40600719152</v>
      </c>
      <c r="M459">
        <v>2632091.5939928079</v>
      </c>
      <c r="N459">
        <v>795789.06771605182</v>
      </c>
    </row>
    <row r="460" spans="1:14" x14ac:dyDescent="0.25">
      <c r="A460" t="s">
        <v>464</v>
      </c>
      <c r="B460">
        <v>45163</v>
      </c>
      <c r="C460" t="s">
        <v>613</v>
      </c>
      <c r="D460" t="s">
        <v>618</v>
      </c>
      <c r="E460" t="s">
        <v>623</v>
      </c>
      <c r="F460" t="s">
        <v>629</v>
      </c>
      <c r="G460" t="s">
        <v>633</v>
      </c>
      <c r="H460">
        <v>6</v>
      </c>
      <c r="I460">
        <v>370961</v>
      </c>
      <c r="J460">
        <v>2225766</v>
      </c>
      <c r="K460">
        <v>1721411.335123366</v>
      </c>
      <c r="L460">
        <v>69342.965421696616</v>
      </c>
      <c r="M460">
        <v>2156423.0345783029</v>
      </c>
      <c r="N460">
        <v>435011.6994549369</v>
      </c>
    </row>
    <row r="461" spans="1:14" x14ac:dyDescent="0.25">
      <c r="A461" t="s">
        <v>465</v>
      </c>
      <c r="B461">
        <v>45198</v>
      </c>
      <c r="C461" t="s">
        <v>616</v>
      </c>
      <c r="D461" t="s">
        <v>619</v>
      </c>
      <c r="E461" t="s">
        <v>624</v>
      </c>
      <c r="F461" t="s">
        <v>627</v>
      </c>
      <c r="G461" t="s">
        <v>632</v>
      </c>
      <c r="H461">
        <v>9</v>
      </c>
      <c r="I461">
        <v>141198</v>
      </c>
      <c r="J461">
        <v>1270782</v>
      </c>
      <c r="K461">
        <v>643371.81003602757</v>
      </c>
      <c r="L461">
        <v>139035.075678411</v>
      </c>
      <c r="M461">
        <v>1131746.9243215891</v>
      </c>
      <c r="N461">
        <v>488375.11428556149</v>
      </c>
    </row>
    <row r="462" spans="1:14" x14ac:dyDescent="0.25">
      <c r="A462" t="s">
        <v>466</v>
      </c>
      <c r="B462">
        <v>45115</v>
      </c>
      <c r="C462" t="s">
        <v>613</v>
      </c>
      <c r="D462" t="s">
        <v>619</v>
      </c>
      <c r="E462" t="s">
        <v>623</v>
      </c>
      <c r="F462" t="s">
        <v>627</v>
      </c>
      <c r="G462" t="s">
        <v>633</v>
      </c>
      <c r="H462">
        <v>8</v>
      </c>
      <c r="I462">
        <v>477858</v>
      </c>
      <c r="J462">
        <v>3822864</v>
      </c>
      <c r="K462">
        <v>2273579.3436234761</v>
      </c>
      <c r="L462">
        <v>66859.216731343447</v>
      </c>
      <c r="M462">
        <v>3756004.783268657</v>
      </c>
      <c r="N462">
        <v>1482425.4396451809</v>
      </c>
    </row>
    <row r="463" spans="1:14" x14ac:dyDescent="0.25">
      <c r="A463" t="s">
        <v>467</v>
      </c>
      <c r="B463">
        <v>45630</v>
      </c>
      <c r="C463" t="s">
        <v>615</v>
      </c>
      <c r="D463" t="s">
        <v>618</v>
      </c>
      <c r="E463" t="s">
        <v>620</v>
      </c>
      <c r="F463" t="s">
        <v>625</v>
      </c>
      <c r="G463" t="s">
        <v>633</v>
      </c>
      <c r="H463">
        <v>8</v>
      </c>
      <c r="I463">
        <v>91830</v>
      </c>
      <c r="J463">
        <v>734640</v>
      </c>
      <c r="K463">
        <v>379856.20501901099</v>
      </c>
      <c r="L463">
        <v>55445.216840378307</v>
      </c>
      <c r="M463">
        <v>679194.78315962164</v>
      </c>
      <c r="N463">
        <v>299338.57814061065</v>
      </c>
    </row>
    <row r="464" spans="1:14" x14ac:dyDescent="0.25">
      <c r="A464" t="s">
        <v>468</v>
      </c>
      <c r="B464">
        <v>45373</v>
      </c>
      <c r="C464" t="s">
        <v>615</v>
      </c>
      <c r="D464" t="s">
        <v>619</v>
      </c>
      <c r="E464" t="s">
        <v>624</v>
      </c>
      <c r="F464" t="s">
        <v>626</v>
      </c>
      <c r="G464" t="s">
        <v>632</v>
      </c>
      <c r="H464">
        <v>1</v>
      </c>
      <c r="I464">
        <v>60234</v>
      </c>
      <c r="J464">
        <v>60234</v>
      </c>
      <c r="K464">
        <v>43968.301909588037</v>
      </c>
      <c r="L464">
        <v>4981.5509370970804</v>
      </c>
      <c r="M464">
        <v>55252.449062902917</v>
      </c>
      <c r="N464">
        <v>11284.14715331488</v>
      </c>
    </row>
    <row r="465" spans="1:14" x14ac:dyDescent="0.25">
      <c r="A465" t="s">
        <v>469</v>
      </c>
      <c r="B465">
        <v>45507</v>
      </c>
      <c r="C465" t="s">
        <v>614</v>
      </c>
      <c r="D465" t="s">
        <v>618</v>
      </c>
      <c r="E465" t="s">
        <v>621</v>
      </c>
      <c r="F465" t="s">
        <v>627</v>
      </c>
      <c r="G465" t="s">
        <v>633</v>
      </c>
      <c r="H465">
        <v>9</v>
      </c>
      <c r="I465">
        <v>107616</v>
      </c>
      <c r="J465">
        <v>968544</v>
      </c>
      <c r="K465">
        <v>688278.5886111568</v>
      </c>
      <c r="L465">
        <v>7711.8261613096392</v>
      </c>
      <c r="M465">
        <v>960832.17383869039</v>
      </c>
      <c r="N465">
        <v>272553.58522753359</v>
      </c>
    </row>
    <row r="466" spans="1:14" x14ac:dyDescent="0.25">
      <c r="A466" t="s">
        <v>470</v>
      </c>
      <c r="B466">
        <v>45173</v>
      </c>
      <c r="C466" t="s">
        <v>617</v>
      </c>
      <c r="D466" t="s">
        <v>618</v>
      </c>
      <c r="E466" t="s">
        <v>622</v>
      </c>
      <c r="F466" t="s">
        <v>626</v>
      </c>
      <c r="G466" t="s">
        <v>631</v>
      </c>
      <c r="H466">
        <v>6</v>
      </c>
      <c r="I466">
        <v>321365</v>
      </c>
      <c r="J466">
        <v>1928190</v>
      </c>
      <c r="K466">
        <v>1155768.0103935541</v>
      </c>
      <c r="L466">
        <v>105660.222703401</v>
      </c>
      <c r="M466">
        <v>1822529.777296599</v>
      </c>
      <c r="N466">
        <v>666761.76690304489</v>
      </c>
    </row>
    <row r="467" spans="1:14" x14ac:dyDescent="0.25">
      <c r="A467" t="s">
        <v>471</v>
      </c>
      <c r="B467">
        <v>45002</v>
      </c>
      <c r="C467" t="s">
        <v>614</v>
      </c>
      <c r="D467" t="s">
        <v>618</v>
      </c>
      <c r="E467" t="s">
        <v>623</v>
      </c>
      <c r="F467" t="s">
        <v>626</v>
      </c>
      <c r="G467" t="s">
        <v>632</v>
      </c>
      <c r="H467">
        <v>9</v>
      </c>
      <c r="I467">
        <v>192482</v>
      </c>
      <c r="J467">
        <v>1732338</v>
      </c>
      <c r="K467">
        <v>1217311.9562050791</v>
      </c>
      <c r="L467">
        <v>331101.57736509922</v>
      </c>
      <c r="M467">
        <v>1401236.422634901</v>
      </c>
      <c r="N467">
        <v>183924.46642982191</v>
      </c>
    </row>
    <row r="468" spans="1:14" x14ac:dyDescent="0.25">
      <c r="A468" t="s">
        <v>472</v>
      </c>
      <c r="B468">
        <v>45080</v>
      </c>
      <c r="C468" t="s">
        <v>614</v>
      </c>
      <c r="D468" t="s">
        <v>618</v>
      </c>
      <c r="E468" t="s">
        <v>624</v>
      </c>
      <c r="F468" t="s">
        <v>625</v>
      </c>
      <c r="G468" t="s">
        <v>632</v>
      </c>
      <c r="H468">
        <v>3</v>
      </c>
      <c r="I468">
        <v>261127</v>
      </c>
      <c r="J468">
        <v>783381</v>
      </c>
      <c r="K468">
        <v>484741.41005838278</v>
      </c>
      <c r="L468">
        <v>149411.53319084601</v>
      </c>
      <c r="M468">
        <v>633969.46680915402</v>
      </c>
      <c r="N468">
        <v>149228.05675077124</v>
      </c>
    </row>
    <row r="469" spans="1:14" x14ac:dyDescent="0.25">
      <c r="A469" t="s">
        <v>473</v>
      </c>
      <c r="B469">
        <v>45582</v>
      </c>
      <c r="C469" t="s">
        <v>614</v>
      </c>
      <c r="D469" t="s">
        <v>619</v>
      </c>
      <c r="E469" t="s">
        <v>620</v>
      </c>
      <c r="F469" t="s">
        <v>625</v>
      </c>
      <c r="G469" t="s">
        <v>631</v>
      </c>
      <c r="H469">
        <v>3</v>
      </c>
      <c r="I469">
        <v>242485</v>
      </c>
      <c r="J469">
        <v>727455</v>
      </c>
      <c r="K469">
        <v>528769.68055176211</v>
      </c>
      <c r="L469">
        <v>51260.415450256201</v>
      </c>
      <c r="M469">
        <v>676194.5845497438</v>
      </c>
      <c r="N469">
        <v>147424.90399798169</v>
      </c>
    </row>
    <row r="470" spans="1:14" x14ac:dyDescent="0.25">
      <c r="A470" t="s">
        <v>474</v>
      </c>
      <c r="B470">
        <v>45361</v>
      </c>
      <c r="C470" t="s">
        <v>614</v>
      </c>
      <c r="D470" t="s">
        <v>619</v>
      </c>
      <c r="E470" t="s">
        <v>624</v>
      </c>
      <c r="F470" t="s">
        <v>625</v>
      </c>
      <c r="G470" t="s">
        <v>633</v>
      </c>
      <c r="H470">
        <v>6</v>
      </c>
      <c r="I470">
        <v>51051</v>
      </c>
      <c r="J470">
        <v>306306</v>
      </c>
      <c r="K470">
        <v>194888.75429946891</v>
      </c>
      <c r="L470">
        <v>2640.3643943050702</v>
      </c>
      <c r="M470">
        <v>303665.63560569502</v>
      </c>
      <c r="N470">
        <v>108776.8813062261</v>
      </c>
    </row>
    <row r="471" spans="1:14" x14ac:dyDescent="0.25">
      <c r="A471" t="s">
        <v>475</v>
      </c>
      <c r="B471">
        <v>45012</v>
      </c>
      <c r="C471" t="s">
        <v>616</v>
      </c>
      <c r="D471" t="s">
        <v>619</v>
      </c>
      <c r="E471" t="s">
        <v>620</v>
      </c>
      <c r="F471" t="s">
        <v>627</v>
      </c>
      <c r="G471" t="s">
        <v>632</v>
      </c>
      <c r="H471">
        <v>9</v>
      </c>
      <c r="I471">
        <v>422673</v>
      </c>
      <c r="J471">
        <v>3804057</v>
      </c>
      <c r="K471">
        <v>2372529.1753848428</v>
      </c>
      <c r="L471">
        <v>136257.4715231889</v>
      </c>
      <c r="M471">
        <v>3667799.528476811</v>
      </c>
      <c r="N471">
        <v>1295270.3530919682</v>
      </c>
    </row>
    <row r="472" spans="1:14" x14ac:dyDescent="0.25">
      <c r="A472" t="s">
        <v>476</v>
      </c>
      <c r="B472">
        <v>45623</v>
      </c>
      <c r="C472" t="s">
        <v>616</v>
      </c>
      <c r="D472" t="s">
        <v>619</v>
      </c>
      <c r="E472" t="s">
        <v>621</v>
      </c>
      <c r="F472" t="s">
        <v>625</v>
      </c>
      <c r="G472" t="s">
        <v>632</v>
      </c>
      <c r="H472">
        <v>7</v>
      </c>
      <c r="I472">
        <v>126918</v>
      </c>
      <c r="J472">
        <v>888426</v>
      </c>
      <c r="K472">
        <v>693344.5079692828</v>
      </c>
      <c r="L472">
        <v>69691.297069797278</v>
      </c>
      <c r="M472">
        <v>818734.70293020271</v>
      </c>
      <c r="N472">
        <v>125390.19496091991</v>
      </c>
    </row>
    <row r="473" spans="1:14" x14ac:dyDescent="0.25">
      <c r="A473" t="s">
        <v>477</v>
      </c>
      <c r="B473">
        <v>45211</v>
      </c>
      <c r="C473" t="s">
        <v>613</v>
      </c>
      <c r="D473" t="s">
        <v>618</v>
      </c>
      <c r="E473" t="s">
        <v>622</v>
      </c>
      <c r="F473" t="s">
        <v>627</v>
      </c>
      <c r="G473" t="s">
        <v>631</v>
      </c>
      <c r="H473">
        <v>3</v>
      </c>
      <c r="I473">
        <v>128116</v>
      </c>
      <c r="J473">
        <v>384348</v>
      </c>
      <c r="K473">
        <v>221101.4640854373</v>
      </c>
      <c r="L473">
        <v>72855.44627101552</v>
      </c>
      <c r="M473">
        <v>311492.55372898449</v>
      </c>
      <c r="N473">
        <v>90391.089643547195</v>
      </c>
    </row>
    <row r="474" spans="1:14" x14ac:dyDescent="0.25">
      <c r="A474" t="s">
        <v>478</v>
      </c>
      <c r="B474">
        <v>45146</v>
      </c>
      <c r="C474" t="s">
        <v>615</v>
      </c>
      <c r="D474" t="s">
        <v>618</v>
      </c>
      <c r="E474" t="s">
        <v>621</v>
      </c>
      <c r="F474" t="s">
        <v>625</v>
      </c>
      <c r="G474" t="s">
        <v>631</v>
      </c>
      <c r="H474">
        <v>3</v>
      </c>
      <c r="I474">
        <v>434370</v>
      </c>
      <c r="J474">
        <v>1303110</v>
      </c>
      <c r="K474">
        <v>698641.83996687736</v>
      </c>
      <c r="L474">
        <v>36799.582337188207</v>
      </c>
      <c r="M474">
        <v>1266310.4176628119</v>
      </c>
      <c r="N474">
        <v>567668.57769593457</v>
      </c>
    </row>
    <row r="475" spans="1:14" x14ac:dyDescent="0.25">
      <c r="A475" t="s">
        <v>479</v>
      </c>
      <c r="B475">
        <v>44995</v>
      </c>
      <c r="C475" t="s">
        <v>614</v>
      </c>
      <c r="D475" t="s">
        <v>619</v>
      </c>
      <c r="E475" t="s">
        <v>623</v>
      </c>
      <c r="F475" t="s">
        <v>628</v>
      </c>
      <c r="G475" t="s">
        <v>633</v>
      </c>
      <c r="H475">
        <v>2</v>
      </c>
      <c r="I475">
        <v>499779</v>
      </c>
      <c r="J475">
        <v>999558</v>
      </c>
      <c r="K475">
        <v>675064.42356101936</v>
      </c>
      <c r="L475">
        <v>152635.67393306221</v>
      </c>
      <c r="M475">
        <v>846922.32606693776</v>
      </c>
      <c r="N475">
        <v>171857.90250591841</v>
      </c>
    </row>
    <row r="476" spans="1:14" x14ac:dyDescent="0.25">
      <c r="A476" t="s">
        <v>480</v>
      </c>
      <c r="B476">
        <v>44973</v>
      </c>
      <c r="C476" t="s">
        <v>613</v>
      </c>
      <c r="D476" t="s">
        <v>618</v>
      </c>
      <c r="E476" t="s">
        <v>624</v>
      </c>
      <c r="F476" t="s">
        <v>626</v>
      </c>
      <c r="G476" t="s">
        <v>632</v>
      </c>
      <c r="H476">
        <v>9</v>
      </c>
      <c r="I476">
        <v>278931</v>
      </c>
      <c r="J476">
        <v>2510379</v>
      </c>
      <c r="K476">
        <v>1985199.036540044</v>
      </c>
      <c r="L476">
        <v>54566.872902580028</v>
      </c>
      <c r="M476">
        <v>2455812.1270974199</v>
      </c>
      <c r="N476">
        <v>470613.09055737592</v>
      </c>
    </row>
    <row r="477" spans="1:14" x14ac:dyDescent="0.25">
      <c r="A477" t="s">
        <v>481</v>
      </c>
      <c r="B477">
        <v>45020</v>
      </c>
      <c r="C477" t="s">
        <v>615</v>
      </c>
      <c r="D477" t="s">
        <v>618</v>
      </c>
      <c r="E477" t="s">
        <v>620</v>
      </c>
      <c r="F477" t="s">
        <v>625</v>
      </c>
      <c r="G477" t="s">
        <v>633</v>
      </c>
      <c r="H477">
        <v>3</v>
      </c>
      <c r="I477">
        <v>356901</v>
      </c>
      <c r="J477">
        <v>1070703</v>
      </c>
      <c r="K477">
        <v>656717.57389660203</v>
      </c>
      <c r="L477">
        <v>210127.08637711449</v>
      </c>
      <c r="M477">
        <v>860575.91362288548</v>
      </c>
      <c r="N477">
        <v>203858.33972628345</v>
      </c>
    </row>
    <row r="478" spans="1:14" x14ac:dyDescent="0.25">
      <c r="A478" t="s">
        <v>482</v>
      </c>
      <c r="B478">
        <v>45379</v>
      </c>
      <c r="C478" t="s">
        <v>617</v>
      </c>
      <c r="D478" t="s">
        <v>618</v>
      </c>
      <c r="E478" t="s">
        <v>620</v>
      </c>
      <c r="F478" t="s">
        <v>630</v>
      </c>
      <c r="G478" t="s">
        <v>633</v>
      </c>
      <c r="H478">
        <v>5</v>
      </c>
      <c r="I478">
        <v>433152</v>
      </c>
      <c r="J478">
        <v>2165760</v>
      </c>
      <c r="K478">
        <v>1123187.022359001</v>
      </c>
      <c r="L478">
        <v>165297.94982211999</v>
      </c>
      <c r="M478">
        <v>2000462.0501778801</v>
      </c>
      <c r="N478">
        <v>877275.02781887911</v>
      </c>
    </row>
    <row r="479" spans="1:14" x14ac:dyDescent="0.25">
      <c r="A479" t="s">
        <v>483</v>
      </c>
      <c r="B479">
        <v>45130</v>
      </c>
      <c r="C479" t="s">
        <v>616</v>
      </c>
      <c r="D479" t="s">
        <v>619</v>
      </c>
      <c r="E479" t="s">
        <v>624</v>
      </c>
      <c r="F479" t="s">
        <v>626</v>
      </c>
      <c r="G479" t="s">
        <v>631</v>
      </c>
      <c r="H479">
        <v>9</v>
      </c>
      <c r="I479">
        <v>258547</v>
      </c>
      <c r="J479">
        <v>2326923</v>
      </c>
      <c r="K479">
        <v>1400322.6691571339</v>
      </c>
      <c r="L479">
        <v>360782.21579172171</v>
      </c>
      <c r="M479">
        <v>1966140.7842082779</v>
      </c>
      <c r="N479">
        <v>565818.11505114404</v>
      </c>
    </row>
    <row r="480" spans="1:14" x14ac:dyDescent="0.25">
      <c r="A480" t="s">
        <v>484</v>
      </c>
      <c r="B480">
        <v>45144</v>
      </c>
      <c r="C480" t="s">
        <v>615</v>
      </c>
      <c r="D480" t="s">
        <v>619</v>
      </c>
      <c r="E480" t="s">
        <v>624</v>
      </c>
      <c r="F480" t="s">
        <v>626</v>
      </c>
      <c r="G480" t="s">
        <v>632</v>
      </c>
      <c r="H480">
        <v>8</v>
      </c>
      <c r="I480">
        <v>494473</v>
      </c>
      <c r="J480">
        <v>3955784</v>
      </c>
      <c r="K480">
        <v>2578298.9029752519</v>
      </c>
      <c r="L480">
        <v>271043.26478539011</v>
      </c>
      <c r="M480">
        <v>3684740.7352146101</v>
      </c>
      <c r="N480">
        <v>1106441.8322393582</v>
      </c>
    </row>
    <row r="481" spans="1:14" x14ac:dyDescent="0.25">
      <c r="A481" t="s">
        <v>485</v>
      </c>
      <c r="B481">
        <v>45400</v>
      </c>
      <c r="C481" t="s">
        <v>617</v>
      </c>
      <c r="D481" t="s">
        <v>619</v>
      </c>
      <c r="E481" t="s">
        <v>623</v>
      </c>
      <c r="F481" t="s">
        <v>625</v>
      </c>
      <c r="G481" t="s">
        <v>632</v>
      </c>
      <c r="H481">
        <v>2</v>
      </c>
      <c r="I481">
        <v>276572</v>
      </c>
      <c r="J481">
        <v>553144</v>
      </c>
      <c r="K481">
        <v>303442.02187417081</v>
      </c>
      <c r="L481">
        <v>69438.254677426419</v>
      </c>
      <c r="M481">
        <v>483705.74532257358</v>
      </c>
      <c r="N481">
        <v>180263.72344840277</v>
      </c>
    </row>
    <row r="482" spans="1:14" x14ac:dyDescent="0.25">
      <c r="A482" t="s">
        <v>486</v>
      </c>
      <c r="B482">
        <v>45358</v>
      </c>
      <c r="C482" t="s">
        <v>615</v>
      </c>
      <c r="D482" t="s">
        <v>618</v>
      </c>
      <c r="E482" t="s">
        <v>621</v>
      </c>
      <c r="F482" t="s">
        <v>629</v>
      </c>
      <c r="G482" t="s">
        <v>632</v>
      </c>
      <c r="H482">
        <v>3</v>
      </c>
      <c r="I482">
        <v>181379</v>
      </c>
      <c r="J482">
        <v>544137</v>
      </c>
      <c r="K482">
        <v>379497.82998798159</v>
      </c>
      <c r="L482">
        <v>20896.61126043788</v>
      </c>
      <c r="M482">
        <v>523240.38873956213</v>
      </c>
      <c r="N482">
        <v>143742.55875158054</v>
      </c>
    </row>
    <row r="483" spans="1:14" x14ac:dyDescent="0.25">
      <c r="A483" t="s">
        <v>487</v>
      </c>
      <c r="B483">
        <v>45267</v>
      </c>
      <c r="C483" t="s">
        <v>616</v>
      </c>
      <c r="D483" t="s">
        <v>619</v>
      </c>
      <c r="E483" t="s">
        <v>620</v>
      </c>
      <c r="F483" t="s">
        <v>625</v>
      </c>
      <c r="G483" t="s">
        <v>631</v>
      </c>
      <c r="H483">
        <v>2</v>
      </c>
      <c r="I483">
        <v>106889</v>
      </c>
      <c r="J483">
        <v>213778</v>
      </c>
      <c r="K483">
        <v>170878.0606651468</v>
      </c>
      <c r="L483">
        <v>6243.2162926532119</v>
      </c>
      <c r="M483">
        <v>207534.7837073468</v>
      </c>
      <c r="N483">
        <v>36656.723042199999</v>
      </c>
    </row>
    <row r="484" spans="1:14" x14ac:dyDescent="0.25">
      <c r="A484" t="s">
        <v>488</v>
      </c>
      <c r="B484">
        <v>45477</v>
      </c>
      <c r="C484" t="s">
        <v>616</v>
      </c>
      <c r="D484" t="s">
        <v>619</v>
      </c>
      <c r="E484" t="s">
        <v>623</v>
      </c>
      <c r="F484" t="s">
        <v>626</v>
      </c>
      <c r="G484" t="s">
        <v>631</v>
      </c>
      <c r="H484">
        <v>8</v>
      </c>
      <c r="I484">
        <v>276256</v>
      </c>
      <c r="J484">
        <v>2210048</v>
      </c>
      <c r="K484">
        <v>1404533.777624151</v>
      </c>
      <c r="L484">
        <v>414633.35510485392</v>
      </c>
      <c r="M484">
        <v>1795414.6448951459</v>
      </c>
      <c r="N484">
        <v>390880.86727099493</v>
      </c>
    </row>
    <row r="485" spans="1:14" x14ac:dyDescent="0.25">
      <c r="A485" t="s">
        <v>489</v>
      </c>
      <c r="B485">
        <v>45538</v>
      </c>
      <c r="C485" t="s">
        <v>613</v>
      </c>
      <c r="D485" t="s">
        <v>619</v>
      </c>
      <c r="E485" t="s">
        <v>621</v>
      </c>
      <c r="F485" t="s">
        <v>630</v>
      </c>
      <c r="G485" t="s">
        <v>631</v>
      </c>
      <c r="H485">
        <v>6</v>
      </c>
      <c r="I485">
        <v>348088</v>
      </c>
      <c r="J485">
        <v>2088528</v>
      </c>
      <c r="K485">
        <v>1266522.156939191</v>
      </c>
      <c r="L485">
        <v>383306.40680543822</v>
      </c>
      <c r="M485">
        <v>1705221.593194562</v>
      </c>
      <c r="N485">
        <v>438699.43625537097</v>
      </c>
    </row>
    <row r="486" spans="1:14" x14ac:dyDescent="0.25">
      <c r="A486" t="s">
        <v>490</v>
      </c>
      <c r="B486">
        <v>45215</v>
      </c>
      <c r="C486" t="s">
        <v>614</v>
      </c>
      <c r="D486" t="s">
        <v>619</v>
      </c>
      <c r="E486" t="s">
        <v>623</v>
      </c>
      <c r="F486" t="s">
        <v>626</v>
      </c>
      <c r="G486" t="s">
        <v>631</v>
      </c>
      <c r="H486">
        <v>6</v>
      </c>
      <c r="I486">
        <v>411699</v>
      </c>
      <c r="J486">
        <v>2470194</v>
      </c>
      <c r="K486">
        <v>1532042.10860685</v>
      </c>
      <c r="L486">
        <v>438444.09026004409</v>
      </c>
      <c r="M486">
        <v>2031749.909739956</v>
      </c>
      <c r="N486">
        <v>499707.801133106</v>
      </c>
    </row>
    <row r="487" spans="1:14" x14ac:dyDescent="0.25">
      <c r="A487" t="s">
        <v>491</v>
      </c>
      <c r="B487">
        <v>45180</v>
      </c>
      <c r="C487" t="s">
        <v>615</v>
      </c>
      <c r="D487" t="s">
        <v>619</v>
      </c>
      <c r="E487" t="s">
        <v>620</v>
      </c>
      <c r="F487" t="s">
        <v>630</v>
      </c>
      <c r="G487" t="s">
        <v>631</v>
      </c>
      <c r="H487">
        <v>9</v>
      </c>
      <c r="I487">
        <v>88134</v>
      </c>
      <c r="J487">
        <v>793206</v>
      </c>
      <c r="K487">
        <v>424003.39187404321</v>
      </c>
      <c r="L487">
        <v>99219.513054568597</v>
      </c>
      <c r="M487">
        <v>693986.48694543145</v>
      </c>
      <c r="N487">
        <v>269983.09507138823</v>
      </c>
    </row>
    <row r="488" spans="1:14" x14ac:dyDescent="0.25">
      <c r="A488" t="s">
        <v>492</v>
      </c>
      <c r="B488">
        <v>45283</v>
      </c>
      <c r="C488" t="s">
        <v>615</v>
      </c>
      <c r="D488" t="s">
        <v>619</v>
      </c>
      <c r="E488" t="s">
        <v>624</v>
      </c>
      <c r="F488" t="s">
        <v>627</v>
      </c>
      <c r="G488" t="s">
        <v>632</v>
      </c>
      <c r="H488">
        <v>8</v>
      </c>
      <c r="I488">
        <v>470539</v>
      </c>
      <c r="J488">
        <v>3764312</v>
      </c>
      <c r="K488">
        <v>2879631.2251395858</v>
      </c>
      <c r="L488">
        <v>608514.7453399942</v>
      </c>
      <c r="M488">
        <v>3155797.2546600061</v>
      </c>
      <c r="N488">
        <v>276166.02952042036</v>
      </c>
    </row>
    <row r="489" spans="1:14" x14ac:dyDescent="0.25">
      <c r="A489" t="s">
        <v>493</v>
      </c>
      <c r="B489">
        <v>44949</v>
      </c>
      <c r="C489" t="s">
        <v>617</v>
      </c>
      <c r="D489" t="s">
        <v>618</v>
      </c>
      <c r="E489" t="s">
        <v>624</v>
      </c>
      <c r="F489" t="s">
        <v>628</v>
      </c>
      <c r="G489" t="s">
        <v>633</v>
      </c>
      <c r="H489">
        <v>4</v>
      </c>
      <c r="I489">
        <v>252834</v>
      </c>
      <c r="J489">
        <v>1011336</v>
      </c>
      <c r="K489">
        <v>631526.43574570271</v>
      </c>
      <c r="L489">
        <v>13963.907925640449</v>
      </c>
      <c r="M489">
        <v>997372.09207435953</v>
      </c>
      <c r="N489">
        <v>365845.65632865683</v>
      </c>
    </row>
    <row r="490" spans="1:14" x14ac:dyDescent="0.25">
      <c r="A490" t="s">
        <v>494</v>
      </c>
      <c r="B490">
        <v>45448</v>
      </c>
      <c r="C490" t="s">
        <v>616</v>
      </c>
      <c r="D490" t="s">
        <v>618</v>
      </c>
      <c r="E490" t="s">
        <v>621</v>
      </c>
      <c r="F490" t="s">
        <v>626</v>
      </c>
      <c r="G490" t="s">
        <v>632</v>
      </c>
      <c r="H490">
        <v>4</v>
      </c>
      <c r="I490">
        <v>277579</v>
      </c>
      <c r="J490">
        <v>1110316</v>
      </c>
      <c r="K490">
        <v>684157.0926186752</v>
      </c>
      <c r="L490">
        <v>74344.325967178273</v>
      </c>
      <c r="M490">
        <v>1035971.674032822</v>
      </c>
      <c r="N490">
        <v>351814.58141414681</v>
      </c>
    </row>
    <row r="491" spans="1:14" x14ac:dyDescent="0.25">
      <c r="A491" t="s">
        <v>495</v>
      </c>
      <c r="B491">
        <v>45026</v>
      </c>
      <c r="C491" t="s">
        <v>615</v>
      </c>
      <c r="D491" t="s">
        <v>619</v>
      </c>
      <c r="E491" t="s">
        <v>622</v>
      </c>
      <c r="F491" t="s">
        <v>625</v>
      </c>
      <c r="G491" t="s">
        <v>633</v>
      </c>
      <c r="H491">
        <v>9</v>
      </c>
      <c r="I491">
        <v>75954</v>
      </c>
      <c r="J491">
        <v>683586</v>
      </c>
      <c r="K491">
        <v>477079.5104734354</v>
      </c>
      <c r="L491">
        <v>42888.612848049081</v>
      </c>
      <c r="M491">
        <v>640697.38715195097</v>
      </c>
      <c r="N491">
        <v>163617.87667851557</v>
      </c>
    </row>
    <row r="492" spans="1:14" x14ac:dyDescent="0.25">
      <c r="A492" t="s">
        <v>496</v>
      </c>
      <c r="B492">
        <v>45106</v>
      </c>
      <c r="C492" t="s">
        <v>616</v>
      </c>
      <c r="D492" t="s">
        <v>619</v>
      </c>
      <c r="E492" t="s">
        <v>621</v>
      </c>
      <c r="F492" t="s">
        <v>627</v>
      </c>
      <c r="G492" t="s">
        <v>631</v>
      </c>
      <c r="H492">
        <v>1</v>
      </c>
      <c r="I492">
        <v>236093</v>
      </c>
      <c r="J492">
        <v>236093</v>
      </c>
      <c r="K492">
        <v>149354.79893436751</v>
      </c>
      <c r="L492">
        <v>30014.282199151661</v>
      </c>
      <c r="M492">
        <v>206078.7178008483</v>
      </c>
      <c r="N492">
        <v>56723.918866480788</v>
      </c>
    </row>
    <row r="493" spans="1:14" x14ac:dyDescent="0.25">
      <c r="A493" t="s">
        <v>497</v>
      </c>
      <c r="B493">
        <v>45149</v>
      </c>
      <c r="C493" t="s">
        <v>615</v>
      </c>
      <c r="D493" t="s">
        <v>618</v>
      </c>
      <c r="E493" t="s">
        <v>622</v>
      </c>
      <c r="F493" t="s">
        <v>628</v>
      </c>
      <c r="G493" t="s">
        <v>633</v>
      </c>
      <c r="H493">
        <v>2</v>
      </c>
      <c r="I493">
        <v>402103</v>
      </c>
      <c r="J493">
        <v>804206</v>
      </c>
      <c r="K493">
        <v>558496.9735048248</v>
      </c>
      <c r="L493">
        <v>57252.675434345991</v>
      </c>
      <c r="M493">
        <v>746953.32456565404</v>
      </c>
      <c r="N493">
        <v>188456.35106082924</v>
      </c>
    </row>
    <row r="494" spans="1:14" x14ac:dyDescent="0.25">
      <c r="A494" t="s">
        <v>498</v>
      </c>
      <c r="B494">
        <v>45585</v>
      </c>
      <c r="C494" t="s">
        <v>613</v>
      </c>
      <c r="D494" t="s">
        <v>618</v>
      </c>
      <c r="E494" t="s">
        <v>623</v>
      </c>
      <c r="F494" t="s">
        <v>625</v>
      </c>
      <c r="G494" t="s">
        <v>632</v>
      </c>
      <c r="H494">
        <v>2</v>
      </c>
      <c r="I494">
        <v>276999</v>
      </c>
      <c r="J494">
        <v>553998</v>
      </c>
      <c r="K494">
        <v>287211.33655196283</v>
      </c>
      <c r="L494">
        <v>16454.49200340718</v>
      </c>
      <c r="M494">
        <v>537543.50799659279</v>
      </c>
      <c r="N494">
        <v>250332.17144462996</v>
      </c>
    </row>
    <row r="495" spans="1:14" x14ac:dyDescent="0.25">
      <c r="A495" t="s">
        <v>499</v>
      </c>
      <c r="B495">
        <v>45368</v>
      </c>
      <c r="C495" t="s">
        <v>614</v>
      </c>
      <c r="D495" t="s">
        <v>619</v>
      </c>
      <c r="E495" t="s">
        <v>623</v>
      </c>
      <c r="F495" t="s">
        <v>629</v>
      </c>
      <c r="G495" t="s">
        <v>632</v>
      </c>
      <c r="H495">
        <v>6</v>
      </c>
      <c r="I495">
        <v>260938</v>
      </c>
      <c r="J495">
        <v>1565628</v>
      </c>
      <c r="K495">
        <v>1165010.4153555429</v>
      </c>
      <c r="L495">
        <v>186769.11086911109</v>
      </c>
      <c r="M495">
        <v>1378858.889130889</v>
      </c>
      <c r="N495">
        <v>213848.47377534606</v>
      </c>
    </row>
    <row r="496" spans="1:14" x14ac:dyDescent="0.25">
      <c r="A496" t="s">
        <v>500</v>
      </c>
      <c r="B496">
        <v>45534</v>
      </c>
      <c r="C496" t="s">
        <v>615</v>
      </c>
      <c r="D496" t="s">
        <v>619</v>
      </c>
      <c r="E496" t="s">
        <v>620</v>
      </c>
      <c r="F496" t="s">
        <v>625</v>
      </c>
      <c r="G496" t="s">
        <v>633</v>
      </c>
      <c r="H496">
        <v>4</v>
      </c>
      <c r="I496">
        <v>251499</v>
      </c>
      <c r="J496">
        <v>1005996</v>
      </c>
      <c r="K496">
        <v>786840.96437426028</v>
      </c>
      <c r="L496">
        <v>163853.39333148269</v>
      </c>
      <c r="M496">
        <v>842142.60666851734</v>
      </c>
      <c r="N496">
        <v>55301.642294257064</v>
      </c>
    </row>
    <row r="497" spans="1:14" x14ac:dyDescent="0.25">
      <c r="A497" t="s">
        <v>501</v>
      </c>
      <c r="B497">
        <v>45251</v>
      </c>
      <c r="C497" t="s">
        <v>616</v>
      </c>
      <c r="D497" t="s">
        <v>619</v>
      </c>
      <c r="E497" t="s">
        <v>622</v>
      </c>
      <c r="F497" t="s">
        <v>630</v>
      </c>
      <c r="G497" t="s">
        <v>631</v>
      </c>
      <c r="H497">
        <v>3</v>
      </c>
      <c r="I497">
        <v>317136</v>
      </c>
      <c r="J497">
        <v>951408</v>
      </c>
      <c r="K497">
        <v>660876.17355453875</v>
      </c>
      <c r="L497">
        <v>72711.069923434843</v>
      </c>
      <c r="M497">
        <v>878696.93007656513</v>
      </c>
      <c r="N497">
        <v>217820.75652202638</v>
      </c>
    </row>
    <row r="498" spans="1:14" x14ac:dyDescent="0.25">
      <c r="A498" t="s">
        <v>502</v>
      </c>
      <c r="B498">
        <v>45442</v>
      </c>
      <c r="C498" t="s">
        <v>613</v>
      </c>
      <c r="D498" t="s">
        <v>619</v>
      </c>
      <c r="E498" t="s">
        <v>620</v>
      </c>
      <c r="F498" t="s">
        <v>630</v>
      </c>
      <c r="G498" t="s">
        <v>631</v>
      </c>
      <c r="H498">
        <v>3</v>
      </c>
      <c r="I498">
        <v>51961</v>
      </c>
      <c r="J498">
        <v>155883</v>
      </c>
      <c r="K498">
        <v>122581.6802064894</v>
      </c>
      <c r="L498">
        <v>4123.688823139325</v>
      </c>
      <c r="M498">
        <v>151759.31117686071</v>
      </c>
      <c r="N498">
        <v>29177.630970371305</v>
      </c>
    </row>
    <row r="499" spans="1:14" x14ac:dyDescent="0.25">
      <c r="A499" t="s">
        <v>503</v>
      </c>
      <c r="B499">
        <v>44942</v>
      </c>
      <c r="C499" t="s">
        <v>615</v>
      </c>
      <c r="D499" t="s">
        <v>618</v>
      </c>
      <c r="E499" t="s">
        <v>624</v>
      </c>
      <c r="F499" t="s">
        <v>629</v>
      </c>
      <c r="G499" t="s">
        <v>632</v>
      </c>
      <c r="H499">
        <v>3</v>
      </c>
      <c r="I499">
        <v>62497</v>
      </c>
      <c r="J499">
        <v>187491</v>
      </c>
      <c r="K499">
        <v>102263.15881606159</v>
      </c>
      <c r="L499">
        <v>7375.4533604757016</v>
      </c>
      <c r="M499">
        <v>180115.54663952431</v>
      </c>
      <c r="N499">
        <v>77852.387823462719</v>
      </c>
    </row>
    <row r="500" spans="1:14" x14ac:dyDescent="0.25">
      <c r="A500" t="s">
        <v>504</v>
      </c>
      <c r="B500">
        <v>45262</v>
      </c>
      <c r="C500" t="s">
        <v>617</v>
      </c>
      <c r="D500" t="s">
        <v>619</v>
      </c>
      <c r="E500" t="s">
        <v>622</v>
      </c>
      <c r="F500" t="s">
        <v>627</v>
      </c>
      <c r="G500" t="s">
        <v>633</v>
      </c>
      <c r="H500">
        <v>6</v>
      </c>
      <c r="I500">
        <v>475767</v>
      </c>
      <c r="J500">
        <v>2854602</v>
      </c>
      <c r="K500">
        <v>1836150.962796899</v>
      </c>
      <c r="L500">
        <v>135584.0635806268</v>
      </c>
      <c r="M500">
        <v>2719017.9364193729</v>
      </c>
      <c r="N500">
        <v>882866.973622474</v>
      </c>
    </row>
    <row r="501" spans="1:14" x14ac:dyDescent="0.25">
      <c r="A501" t="s">
        <v>505</v>
      </c>
      <c r="B501">
        <v>45184</v>
      </c>
      <c r="C501" t="s">
        <v>614</v>
      </c>
      <c r="D501" t="s">
        <v>619</v>
      </c>
      <c r="E501" t="s">
        <v>621</v>
      </c>
      <c r="F501" t="s">
        <v>628</v>
      </c>
      <c r="G501" t="s">
        <v>631</v>
      </c>
      <c r="H501">
        <v>8</v>
      </c>
      <c r="I501">
        <v>306446</v>
      </c>
      <c r="J501">
        <v>2451568</v>
      </c>
      <c r="K501">
        <v>1668395.0393375519</v>
      </c>
      <c r="L501">
        <v>147043.8684524858</v>
      </c>
      <c r="M501">
        <v>2304524.1315475139</v>
      </c>
      <c r="N501">
        <v>636129.09220996196</v>
      </c>
    </row>
    <row r="502" spans="1:14" x14ac:dyDescent="0.25">
      <c r="A502" t="s">
        <v>506</v>
      </c>
      <c r="B502">
        <v>45423</v>
      </c>
      <c r="C502" t="s">
        <v>615</v>
      </c>
      <c r="D502" t="s">
        <v>619</v>
      </c>
      <c r="E502" t="s">
        <v>624</v>
      </c>
      <c r="F502" t="s">
        <v>625</v>
      </c>
      <c r="G502" t="s">
        <v>631</v>
      </c>
      <c r="H502">
        <v>7</v>
      </c>
      <c r="I502">
        <v>498971</v>
      </c>
      <c r="J502">
        <v>3492797</v>
      </c>
      <c r="K502">
        <v>2355964.9050708339</v>
      </c>
      <c r="L502">
        <v>449030.53877584502</v>
      </c>
      <c r="M502">
        <v>3043766.461224155</v>
      </c>
      <c r="N502">
        <v>687801.55615332117</v>
      </c>
    </row>
    <row r="503" spans="1:14" x14ac:dyDescent="0.25">
      <c r="A503" t="s">
        <v>507</v>
      </c>
      <c r="B503">
        <v>45086</v>
      </c>
      <c r="C503" t="s">
        <v>613</v>
      </c>
      <c r="D503" t="s">
        <v>619</v>
      </c>
      <c r="E503" t="s">
        <v>624</v>
      </c>
      <c r="F503" t="s">
        <v>630</v>
      </c>
      <c r="G503" t="s">
        <v>632</v>
      </c>
      <c r="H503">
        <v>4</v>
      </c>
      <c r="I503">
        <v>325399</v>
      </c>
      <c r="J503">
        <v>1301596</v>
      </c>
      <c r="K503">
        <v>807560.31374455476</v>
      </c>
      <c r="L503">
        <v>156437.64777847141</v>
      </c>
      <c r="M503">
        <v>1145158.352221529</v>
      </c>
      <c r="N503">
        <v>337598.03847697424</v>
      </c>
    </row>
    <row r="504" spans="1:14" x14ac:dyDescent="0.25">
      <c r="A504" t="s">
        <v>508</v>
      </c>
      <c r="B504">
        <v>45401</v>
      </c>
      <c r="C504" t="s">
        <v>617</v>
      </c>
      <c r="D504" t="s">
        <v>618</v>
      </c>
      <c r="E504" t="s">
        <v>621</v>
      </c>
      <c r="F504" t="s">
        <v>627</v>
      </c>
      <c r="G504" t="s">
        <v>631</v>
      </c>
      <c r="H504">
        <v>4</v>
      </c>
      <c r="I504">
        <v>185639</v>
      </c>
      <c r="J504">
        <v>742556</v>
      </c>
      <c r="K504">
        <v>446591.9820044121</v>
      </c>
      <c r="L504">
        <v>103375.6555371549</v>
      </c>
      <c r="M504">
        <v>639180.34446284513</v>
      </c>
      <c r="N504">
        <v>192588.36245843302</v>
      </c>
    </row>
    <row r="505" spans="1:14" x14ac:dyDescent="0.25">
      <c r="A505" t="s">
        <v>509</v>
      </c>
      <c r="B505">
        <v>45590</v>
      </c>
      <c r="C505" t="s">
        <v>613</v>
      </c>
      <c r="D505" t="s">
        <v>618</v>
      </c>
      <c r="E505" t="s">
        <v>624</v>
      </c>
      <c r="F505" t="s">
        <v>629</v>
      </c>
      <c r="G505" t="s">
        <v>633</v>
      </c>
      <c r="H505">
        <v>2</v>
      </c>
      <c r="I505">
        <v>360991</v>
      </c>
      <c r="J505">
        <v>721982</v>
      </c>
      <c r="K505">
        <v>388460.39843469887</v>
      </c>
      <c r="L505">
        <v>52343.981559206193</v>
      </c>
      <c r="M505">
        <v>669638.01844079385</v>
      </c>
      <c r="N505">
        <v>281177.62000609498</v>
      </c>
    </row>
    <row r="506" spans="1:14" x14ac:dyDescent="0.25">
      <c r="A506" t="s">
        <v>510</v>
      </c>
      <c r="B506">
        <v>45616</v>
      </c>
      <c r="C506" t="s">
        <v>613</v>
      </c>
      <c r="D506" t="s">
        <v>618</v>
      </c>
      <c r="E506" t="s">
        <v>622</v>
      </c>
      <c r="F506" t="s">
        <v>626</v>
      </c>
      <c r="G506" t="s">
        <v>632</v>
      </c>
      <c r="H506">
        <v>1</v>
      </c>
      <c r="I506">
        <v>285889</v>
      </c>
      <c r="J506">
        <v>285889</v>
      </c>
      <c r="K506">
        <v>176542.95723463979</v>
      </c>
      <c r="L506">
        <v>47114.37293966303</v>
      </c>
      <c r="M506">
        <v>238774.62706033699</v>
      </c>
      <c r="N506">
        <v>62231.669825697201</v>
      </c>
    </row>
    <row r="507" spans="1:14" x14ac:dyDescent="0.25">
      <c r="A507" t="s">
        <v>511</v>
      </c>
      <c r="B507">
        <v>45601</v>
      </c>
      <c r="C507" t="s">
        <v>617</v>
      </c>
      <c r="D507" t="s">
        <v>619</v>
      </c>
      <c r="E507" t="s">
        <v>620</v>
      </c>
      <c r="F507" t="s">
        <v>630</v>
      </c>
      <c r="G507" t="s">
        <v>632</v>
      </c>
      <c r="H507">
        <v>9</v>
      </c>
      <c r="I507">
        <v>229075</v>
      </c>
      <c r="J507">
        <v>2061675</v>
      </c>
      <c r="K507">
        <v>1131443.6207947801</v>
      </c>
      <c r="L507">
        <v>84152.485762660421</v>
      </c>
      <c r="M507">
        <v>1977522.5142373401</v>
      </c>
      <c r="N507">
        <v>846078.89344255999</v>
      </c>
    </row>
    <row r="508" spans="1:14" x14ac:dyDescent="0.25">
      <c r="A508" t="s">
        <v>512</v>
      </c>
      <c r="B508">
        <v>45306</v>
      </c>
      <c r="C508" t="s">
        <v>613</v>
      </c>
      <c r="D508" t="s">
        <v>619</v>
      </c>
      <c r="E508" t="s">
        <v>624</v>
      </c>
      <c r="F508" t="s">
        <v>629</v>
      </c>
      <c r="G508" t="s">
        <v>633</v>
      </c>
      <c r="H508">
        <v>2</v>
      </c>
      <c r="I508">
        <v>70389</v>
      </c>
      <c r="J508">
        <v>140778</v>
      </c>
      <c r="K508">
        <v>101403.7593615665</v>
      </c>
      <c r="L508">
        <v>13206.12367082214</v>
      </c>
      <c r="M508">
        <v>127571.8763291779</v>
      </c>
      <c r="N508">
        <v>26168.116967611408</v>
      </c>
    </row>
    <row r="509" spans="1:14" x14ac:dyDescent="0.25">
      <c r="A509" t="s">
        <v>513</v>
      </c>
      <c r="B509">
        <v>45471</v>
      </c>
      <c r="C509" t="s">
        <v>617</v>
      </c>
      <c r="D509" t="s">
        <v>618</v>
      </c>
      <c r="E509" t="s">
        <v>622</v>
      </c>
      <c r="F509" t="s">
        <v>625</v>
      </c>
      <c r="G509" t="s">
        <v>632</v>
      </c>
      <c r="H509">
        <v>8</v>
      </c>
      <c r="I509">
        <v>225595</v>
      </c>
      <c r="J509">
        <v>1804760</v>
      </c>
      <c r="K509">
        <v>1015446.9157429649</v>
      </c>
      <c r="L509">
        <v>289100.43341782241</v>
      </c>
      <c r="M509">
        <v>1515659.566582178</v>
      </c>
      <c r="N509">
        <v>500212.65083921305</v>
      </c>
    </row>
    <row r="510" spans="1:14" x14ac:dyDescent="0.25">
      <c r="A510" t="s">
        <v>514</v>
      </c>
      <c r="B510">
        <v>45617</v>
      </c>
      <c r="C510" t="s">
        <v>615</v>
      </c>
      <c r="D510" t="s">
        <v>619</v>
      </c>
      <c r="E510" t="s">
        <v>623</v>
      </c>
      <c r="F510" t="s">
        <v>628</v>
      </c>
      <c r="G510" t="s">
        <v>631</v>
      </c>
      <c r="H510">
        <v>9</v>
      </c>
      <c r="I510">
        <v>435946</v>
      </c>
      <c r="J510">
        <v>3923514</v>
      </c>
      <c r="K510">
        <v>2030691.5385594431</v>
      </c>
      <c r="L510">
        <v>141370.99531999999</v>
      </c>
      <c r="M510">
        <v>3782143.0046799998</v>
      </c>
      <c r="N510">
        <v>1751451.4661205567</v>
      </c>
    </row>
    <row r="511" spans="1:14" x14ac:dyDescent="0.25">
      <c r="A511" t="s">
        <v>515</v>
      </c>
      <c r="B511">
        <v>45353</v>
      </c>
      <c r="C511" t="s">
        <v>617</v>
      </c>
      <c r="D511" t="s">
        <v>619</v>
      </c>
      <c r="E511" t="s">
        <v>622</v>
      </c>
      <c r="F511" t="s">
        <v>630</v>
      </c>
      <c r="G511" t="s">
        <v>631</v>
      </c>
      <c r="H511">
        <v>4</v>
      </c>
      <c r="I511">
        <v>373720</v>
      </c>
      <c r="J511">
        <v>1494880</v>
      </c>
      <c r="K511">
        <v>995156.32763006818</v>
      </c>
      <c r="L511">
        <v>32846.434293764323</v>
      </c>
      <c r="M511">
        <v>1462033.5657062361</v>
      </c>
      <c r="N511">
        <v>466877.23807616788</v>
      </c>
    </row>
    <row r="512" spans="1:14" x14ac:dyDescent="0.25">
      <c r="A512" t="s">
        <v>516</v>
      </c>
      <c r="B512">
        <v>45539</v>
      </c>
      <c r="C512" t="s">
        <v>617</v>
      </c>
      <c r="D512" t="s">
        <v>618</v>
      </c>
      <c r="E512" t="s">
        <v>620</v>
      </c>
      <c r="F512" t="s">
        <v>630</v>
      </c>
      <c r="G512" t="s">
        <v>633</v>
      </c>
      <c r="H512">
        <v>8</v>
      </c>
      <c r="I512">
        <v>356063</v>
      </c>
      <c r="J512">
        <v>2848504</v>
      </c>
      <c r="K512">
        <v>1932906.2823710439</v>
      </c>
      <c r="L512">
        <v>503435.46333902201</v>
      </c>
      <c r="M512">
        <v>2345068.5366609781</v>
      </c>
      <c r="N512">
        <v>412162.25428993418</v>
      </c>
    </row>
    <row r="513" spans="1:14" x14ac:dyDescent="0.25">
      <c r="A513" t="s">
        <v>517</v>
      </c>
      <c r="B513">
        <v>45194</v>
      </c>
      <c r="C513" t="s">
        <v>614</v>
      </c>
      <c r="D513" t="s">
        <v>618</v>
      </c>
      <c r="E513" t="s">
        <v>622</v>
      </c>
      <c r="F513" t="s">
        <v>625</v>
      </c>
      <c r="G513" t="s">
        <v>631</v>
      </c>
      <c r="H513">
        <v>9</v>
      </c>
      <c r="I513">
        <v>263175</v>
      </c>
      <c r="J513">
        <v>2368575</v>
      </c>
      <c r="K513">
        <v>1803844.943736742</v>
      </c>
      <c r="L513">
        <v>162450.92519397251</v>
      </c>
      <c r="M513">
        <v>2206124.074806028</v>
      </c>
      <c r="N513">
        <v>402279.13106928603</v>
      </c>
    </row>
    <row r="514" spans="1:14" x14ac:dyDescent="0.25">
      <c r="A514" t="s">
        <v>518</v>
      </c>
      <c r="B514">
        <v>45503</v>
      </c>
      <c r="C514" t="s">
        <v>617</v>
      </c>
      <c r="D514" t="s">
        <v>618</v>
      </c>
      <c r="E514" t="s">
        <v>621</v>
      </c>
      <c r="F514" t="s">
        <v>626</v>
      </c>
      <c r="G514" t="s">
        <v>633</v>
      </c>
      <c r="H514">
        <v>5</v>
      </c>
      <c r="I514">
        <v>53358</v>
      </c>
      <c r="J514">
        <v>266790</v>
      </c>
      <c r="K514">
        <v>179574.87731307399</v>
      </c>
      <c r="L514">
        <v>36489.94212489613</v>
      </c>
      <c r="M514">
        <v>230300.0578751039</v>
      </c>
      <c r="N514">
        <v>50725.180562029913</v>
      </c>
    </row>
    <row r="515" spans="1:14" x14ac:dyDescent="0.25">
      <c r="A515" t="s">
        <v>519</v>
      </c>
      <c r="B515">
        <v>45343</v>
      </c>
      <c r="C515" t="s">
        <v>617</v>
      </c>
      <c r="D515" t="s">
        <v>618</v>
      </c>
      <c r="E515" t="s">
        <v>620</v>
      </c>
      <c r="F515" t="s">
        <v>627</v>
      </c>
      <c r="G515" t="s">
        <v>633</v>
      </c>
      <c r="H515">
        <v>7</v>
      </c>
      <c r="I515">
        <v>400679</v>
      </c>
      <c r="J515">
        <v>2804753</v>
      </c>
      <c r="K515">
        <v>1693073.038277019</v>
      </c>
      <c r="L515">
        <v>14219.31477101885</v>
      </c>
      <c r="M515">
        <v>2790533.6852289811</v>
      </c>
      <c r="N515">
        <v>1097460.646951962</v>
      </c>
    </row>
    <row r="516" spans="1:14" x14ac:dyDescent="0.25">
      <c r="A516" t="s">
        <v>520</v>
      </c>
      <c r="B516">
        <v>45094</v>
      </c>
      <c r="C516" t="s">
        <v>615</v>
      </c>
      <c r="D516" t="s">
        <v>619</v>
      </c>
      <c r="E516" t="s">
        <v>623</v>
      </c>
      <c r="F516" t="s">
        <v>628</v>
      </c>
      <c r="G516" t="s">
        <v>631</v>
      </c>
      <c r="H516">
        <v>4</v>
      </c>
      <c r="I516">
        <v>302557</v>
      </c>
      <c r="J516">
        <v>1210228</v>
      </c>
      <c r="K516">
        <v>896662.23900675075</v>
      </c>
      <c r="L516">
        <v>167022.8131331983</v>
      </c>
      <c r="M516">
        <v>1043205.186866802</v>
      </c>
      <c r="N516">
        <v>146542.9478600513</v>
      </c>
    </row>
    <row r="517" spans="1:14" x14ac:dyDescent="0.25">
      <c r="A517" t="s">
        <v>521</v>
      </c>
      <c r="B517">
        <v>44969</v>
      </c>
      <c r="C517" t="s">
        <v>614</v>
      </c>
      <c r="D517" t="s">
        <v>619</v>
      </c>
      <c r="E517" t="s">
        <v>621</v>
      </c>
      <c r="F517" t="s">
        <v>630</v>
      </c>
      <c r="G517" t="s">
        <v>633</v>
      </c>
      <c r="H517">
        <v>1</v>
      </c>
      <c r="I517">
        <v>257596</v>
      </c>
      <c r="J517">
        <v>257596</v>
      </c>
      <c r="K517">
        <v>170550.10453085211</v>
      </c>
      <c r="L517">
        <v>16285.28668985068</v>
      </c>
      <c r="M517">
        <v>241310.71331014929</v>
      </c>
      <c r="N517">
        <v>70760.608779297181</v>
      </c>
    </row>
    <row r="518" spans="1:14" x14ac:dyDescent="0.25">
      <c r="A518" t="s">
        <v>522</v>
      </c>
      <c r="B518">
        <v>45482</v>
      </c>
      <c r="C518" t="s">
        <v>616</v>
      </c>
      <c r="D518" t="s">
        <v>618</v>
      </c>
      <c r="E518" t="s">
        <v>622</v>
      </c>
      <c r="F518" t="s">
        <v>628</v>
      </c>
      <c r="G518" t="s">
        <v>631</v>
      </c>
      <c r="H518">
        <v>3</v>
      </c>
      <c r="I518">
        <v>304488</v>
      </c>
      <c r="J518">
        <v>913464</v>
      </c>
      <c r="K518">
        <v>478457.90577610407</v>
      </c>
      <c r="L518">
        <v>10183.452616279779</v>
      </c>
      <c r="M518">
        <v>903280.54738372017</v>
      </c>
      <c r="N518">
        <v>424822.6416076161</v>
      </c>
    </row>
    <row r="519" spans="1:14" x14ac:dyDescent="0.25">
      <c r="A519" t="s">
        <v>523</v>
      </c>
      <c r="B519">
        <v>45211</v>
      </c>
      <c r="C519" t="s">
        <v>615</v>
      </c>
      <c r="D519" t="s">
        <v>619</v>
      </c>
      <c r="E519" t="s">
        <v>620</v>
      </c>
      <c r="F519" t="s">
        <v>630</v>
      </c>
      <c r="G519" t="s">
        <v>632</v>
      </c>
      <c r="H519">
        <v>5</v>
      </c>
      <c r="I519">
        <v>155982</v>
      </c>
      <c r="J519">
        <v>779910</v>
      </c>
      <c r="K519">
        <v>522348.75314817129</v>
      </c>
      <c r="L519">
        <v>95119.814171798396</v>
      </c>
      <c r="M519">
        <v>684790.18582820159</v>
      </c>
      <c r="N519">
        <v>162441.4326800303</v>
      </c>
    </row>
    <row r="520" spans="1:14" x14ac:dyDescent="0.25">
      <c r="A520" t="s">
        <v>524</v>
      </c>
      <c r="B520">
        <v>45323</v>
      </c>
      <c r="C520" t="s">
        <v>615</v>
      </c>
      <c r="D520" t="s">
        <v>618</v>
      </c>
      <c r="E520" t="s">
        <v>623</v>
      </c>
      <c r="F520" t="s">
        <v>628</v>
      </c>
      <c r="G520" t="s">
        <v>632</v>
      </c>
      <c r="H520">
        <v>3</v>
      </c>
      <c r="I520">
        <v>278129</v>
      </c>
      <c r="J520">
        <v>834387</v>
      </c>
      <c r="K520">
        <v>644485.1610176235</v>
      </c>
      <c r="L520">
        <v>40184.714736369373</v>
      </c>
      <c r="M520">
        <v>794202.28526363068</v>
      </c>
      <c r="N520">
        <v>149717.12424600718</v>
      </c>
    </row>
    <row r="521" spans="1:14" x14ac:dyDescent="0.25">
      <c r="A521" t="s">
        <v>525</v>
      </c>
      <c r="B521">
        <v>44938</v>
      </c>
      <c r="C521" t="s">
        <v>616</v>
      </c>
      <c r="D521" t="s">
        <v>618</v>
      </c>
      <c r="E521" t="s">
        <v>621</v>
      </c>
      <c r="F521" t="s">
        <v>629</v>
      </c>
      <c r="G521" t="s">
        <v>633</v>
      </c>
      <c r="H521">
        <v>7</v>
      </c>
      <c r="I521">
        <v>317842</v>
      </c>
      <c r="J521">
        <v>2224894</v>
      </c>
      <c r="K521">
        <v>1376973.074778571</v>
      </c>
      <c r="L521">
        <v>172121.02239955511</v>
      </c>
      <c r="M521">
        <v>2052772.977600445</v>
      </c>
      <c r="N521">
        <v>675799.90282187401</v>
      </c>
    </row>
    <row r="522" spans="1:14" x14ac:dyDescent="0.25">
      <c r="A522" t="s">
        <v>526</v>
      </c>
      <c r="B522">
        <v>45533</v>
      </c>
      <c r="C522" t="s">
        <v>617</v>
      </c>
      <c r="D522" t="s">
        <v>619</v>
      </c>
      <c r="E522" t="s">
        <v>623</v>
      </c>
      <c r="F522" t="s">
        <v>630</v>
      </c>
      <c r="G522" t="s">
        <v>631</v>
      </c>
      <c r="H522">
        <v>9</v>
      </c>
      <c r="I522">
        <v>378953</v>
      </c>
      <c r="J522">
        <v>3410577</v>
      </c>
      <c r="K522">
        <v>2008481.0893398039</v>
      </c>
      <c r="L522">
        <v>54965.413005140137</v>
      </c>
      <c r="M522">
        <v>3355611.5869948599</v>
      </c>
      <c r="N522">
        <v>1347130.497655056</v>
      </c>
    </row>
    <row r="523" spans="1:14" x14ac:dyDescent="0.25">
      <c r="A523" t="s">
        <v>527</v>
      </c>
      <c r="B523">
        <v>45228</v>
      </c>
      <c r="C523" t="s">
        <v>613</v>
      </c>
      <c r="D523" t="s">
        <v>618</v>
      </c>
      <c r="E523" t="s">
        <v>622</v>
      </c>
      <c r="F523" t="s">
        <v>628</v>
      </c>
      <c r="G523" t="s">
        <v>631</v>
      </c>
      <c r="H523">
        <v>6</v>
      </c>
      <c r="I523">
        <v>143079</v>
      </c>
      <c r="J523">
        <v>858474</v>
      </c>
      <c r="K523">
        <v>466186.43959322642</v>
      </c>
      <c r="L523">
        <v>25267.164964096421</v>
      </c>
      <c r="M523">
        <v>833206.83503590361</v>
      </c>
      <c r="N523">
        <v>367020.3954426772</v>
      </c>
    </row>
    <row r="524" spans="1:14" x14ac:dyDescent="0.25">
      <c r="A524" t="s">
        <v>528</v>
      </c>
      <c r="B524">
        <v>45179</v>
      </c>
      <c r="C524" t="s">
        <v>614</v>
      </c>
      <c r="D524" t="s">
        <v>619</v>
      </c>
      <c r="E524" t="s">
        <v>623</v>
      </c>
      <c r="F524" t="s">
        <v>627</v>
      </c>
      <c r="G524" t="s">
        <v>632</v>
      </c>
      <c r="H524">
        <v>1</v>
      </c>
      <c r="I524">
        <v>105805</v>
      </c>
      <c r="J524">
        <v>105805</v>
      </c>
      <c r="K524">
        <v>57709.60803451114</v>
      </c>
      <c r="L524">
        <v>6305.4962803275503</v>
      </c>
      <c r="M524">
        <v>99499.503719672444</v>
      </c>
      <c r="N524">
        <v>41789.895685161304</v>
      </c>
    </row>
    <row r="525" spans="1:14" x14ac:dyDescent="0.25">
      <c r="A525" t="s">
        <v>529</v>
      </c>
      <c r="B525">
        <v>45425</v>
      </c>
      <c r="C525" t="s">
        <v>613</v>
      </c>
      <c r="D525" t="s">
        <v>619</v>
      </c>
      <c r="E525" t="s">
        <v>624</v>
      </c>
      <c r="F525" t="s">
        <v>629</v>
      </c>
      <c r="G525" t="s">
        <v>632</v>
      </c>
      <c r="H525">
        <v>7</v>
      </c>
      <c r="I525">
        <v>212421</v>
      </c>
      <c r="J525">
        <v>1486947</v>
      </c>
      <c r="K525">
        <v>936525.97809828434</v>
      </c>
      <c r="L525">
        <v>26693.524015884799</v>
      </c>
      <c r="M525">
        <v>1460253.4759841149</v>
      </c>
      <c r="N525">
        <v>523727.49788583058</v>
      </c>
    </row>
    <row r="526" spans="1:14" x14ac:dyDescent="0.25">
      <c r="A526" t="s">
        <v>530</v>
      </c>
      <c r="B526">
        <v>44961</v>
      </c>
      <c r="C526" t="s">
        <v>616</v>
      </c>
      <c r="D526" t="s">
        <v>619</v>
      </c>
      <c r="E526" t="s">
        <v>621</v>
      </c>
      <c r="F526" t="s">
        <v>629</v>
      </c>
      <c r="G526" t="s">
        <v>631</v>
      </c>
      <c r="H526">
        <v>3</v>
      </c>
      <c r="I526">
        <v>257849</v>
      </c>
      <c r="J526">
        <v>773547</v>
      </c>
      <c r="K526">
        <v>525009.40228220355</v>
      </c>
      <c r="L526">
        <v>140913.38491386099</v>
      </c>
      <c r="M526">
        <v>632633.61508613895</v>
      </c>
      <c r="N526">
        <v>107624.2128039354</v>
      </c>
    </row>
    <row r="527" spans="1:14" x14ac:dyDescent="0.25">
      <c r="A527" t="s">
        <v>531</v>
      </c>
      <c r="B527">
        <v>45653</v>
      </c>
      <c r="C527" t="s">
        <v>615</v>
      </c>
      <c r="D527" t="s">
        <v>619</v>
      </c>
      <c r="E527" t="s">
        <v>623</v>
      </c>
      <c r="F527" t="s">
        <v>627</v>
      </c>
      <c r="G527" t="s">
        <v>633</v>
      </c>
      <c r="H527">
        <v>5</v>
      </c>
      <c r="I527">
        <v>493464</v>
      </c>
      <c r="J527">
        <v>2467320</v>
      </c>
      <c r="K527">
        <v>1293331.2004449191</v>
      </c>
      <c r="L527">
        <v>2983.9981177387258</v>
      </c>
      <c r="M527">
        <v>2464336.0018822611</v>
      </c>
      <c r="N527">
        <v>1171004.8014373421</v>
      </c>
    </row>
    <row r="528" spans="1:14" x14ac:dyDescent="0.25">
      <c r="A528" t="s">
        <v>532</v>
      </c>
      <c r="B528">
        <v>45016</v>
      </c>
      <c r="C528" t="s">
        <v>615</v>
      </c>
      <c r="D528" t="s">
        <v>618</v>
      </c>
      <c r="E528" t="s">
        <v>622</v>
      </c>
      <c r="F528" t="s">
        <v>628</v>
      </c>
      <c r="G528" t="s">
        <v>632</v>
      </c>
      <c r="H528">
        <v>4</v>
      </c>
      <c r="I528">
        <v>387177</v>
      </c>
      <c r="J528">
        <v>1548708</v>
      </c>
      <c r="K528">
        <v>1210889.2171115959</v>
      </c>
      <c r="L528">
        <v>149871.63836738199</v>
      </c>
      <c r="M528">
        <v>1398836.3616326179</v>
      </c>
      <c r="N528">
        <v>187947.14452102198</v>
      </c>
    </row>
    <row r="529" spans="1:14" x14ac:dyDescent="0.25">
      <c r="A529" t="s">
        <v>533</v>
      </c>
      <c r="B529">
        <v>45531</v>
      </c>
      <c r="C529" t="s">
        <v>614</v>
      </c>
      <c r="D529" t="s">
        <v>619</v>
      </c>
      <c r="E529" t="s">
        <v>622</v>
      </c>
      <c r="F529" t="s">
        <v>625</v>
      </c>
      <c r="G529" t="s">
        <v>633</v>
      </c>
      <c r="H529">
        <v>5</v>
      </c>
      <c r="I529">
        <v>288483</v>
      </c>
      <c r="J529">
        <v>1442415</v>
      </c>
      <c r="K529">
        <v>1047972.317042164</v>
      </c>
      <c r="L529">
        <v>35554.79646445284</v>
      </c>
      <c r="M529">
        <v>1406860.203535547</v>
      </c>
      <c r="N529">
        <v>358887.88649338298</v>
      </c>
    </row>
    <row r="530" spans="1:14" x14ac:dyDescent="0.25">
      <c r="A530" t="s">
        <v>534</v>
      </c>
      <c r="B530">
        <v>45528</v>
      </c>
      <c r="C530" t="s">
        <v>615</v>
      </c>
      <c r="D530" t="s">
        <v>618</v>
      </c>
      <c r="E530" t="s">
        <v>623</v>
      </c>
      <c r="F530" t="s">
        <v>627</v>
      </c>
      <c r="G530" t="s">
        <v>633</v>
      </c>
      <c r="H530">
        <v>5</v>
      </c>
      <c r="I530">
        <v>410383</v>
      </c>
      <c r="J530">
        <v>2051915</v>
      </c>
      <c r="K530">
        <v>1387068.225185507</v>
      </c>
      <c r="L530">
        <v>126266.2677772289</v>
      </c>
      <c r="M530">
        <v>1925648.732222771</v>
      </c>
      <c r="N530">
        <v>538580.50703726406</v>
      </c>
    </row>
    <row r="531" spans="1:14" x14ac:dyDescent="0.25">
      <c r="A531" t="s">
        <v>535</v>
      </c>
      <c r="B531">
        <v>45344</v>
      </c>
      <c r="C531" t="s">
        <v>615</v>
      </c>
      <c r="D531" t="s">
        <v>618</v>
      </c>
      <c r="E531" t="s">
        <v>622</v>
      </c>
      <c r="F531" t="s">
        <v>628</v>
      </c>
      <c r="G531" t="s">
        <v>632</v>
      </c>
      <c r="H531">
        <v>6</v>
      </c>
      <c r="I531">
        <v>442551</v>
      </c>
      <c r="J531">
        <v>2655306</v>
      </c>
      <c r="K531">
        <v>1987580.4520728979</v>
      </c>
      <c r="L531">
        <v>491794.30110855988</v>
      </c>
      <c r="M531">
        <v>2163511.6988914399</v>
      </c>
      <c r="N531">
        <v>175931.24681854201</v>
      </c>
    </row>
    <row r="532" spans="1:14" x14ac:dyDescent="0.25">
      <c r="A532" t="s">
        <v>536</v>
      </c>
      <c r="B532">
        <v>45041</v>
      </c>
      <c r="C532" t="s">
        <v>614</v>
      </c>
      <c r="D532" t="s">
        <v>618</v>
      </c>
      <c r="E532" t="s">
        <v>620</v>
      </c>
      <c r="F532" t="s">
        <v>627</v>
      </c>
      <c r="G532" t="s">
        <v>633</v>
      </c>
      <c r="H532">
        <v>6</v>
      </c>
      <c r="I532">
        <v>94041</v>
      </c>
      <c r="J532">
        <v>564246</v>
      </c>
      <c r="K532">
        <v>295696.51703526231</v>
      </c>
      <c r="L532">
        <v>18247.100981326799</v>
      </c>
      <c r="M532">
        <v>545998.89901867323</v>
      </c>
      <c r="N532">
        <v>250302.38198341092</v>
      </c>
    </row>
    <row r="533" spans="1:14" x14ac:dyDescent="0.25">
      <c r="A533" t="s">
        <v>537</v>
      </c>
      <c r="B533">
        <v>45543</v>
      </c>
      <c r="C533" t="s">
        <v>614</v>
      </c>
      <c r="D533" t="s">
        <v>618</v>
      </c>
      <c r="E533" t="s">
        <v>620</v>
      </c>
      <c r="F533" t="s">
        <v>627</v>
      </c>
      <c r="G533" t="s">
        <v>633</v>
      </c>
      <c r="H533">
        <v>8</v>
      </c>
      <c r="I533">
        <v>344098</v>
      </c>
      <c r="J533">
        <v>2752784</v>
      </c>
      <c r="K533">
        <v>1770182.3299605099</v>
      </c>
      <c r="L533">
        <v>531745.55128070212</v>
      </c>
      <c r="M533">
        <v>2221038.448719298</v>
      </c>
      <c r="N533">
        <v>450856.1187587881</v>
      </c>
    </row>
    <row r="534" spans="1:14" x14ac:dyDescent="0.25">
      <c r="A534" t="s">
        <v>538</v>
      </c>
      <c r="B534">
        <v>45122</v>
      </c>
      <c r="C534" t="s">
        <v>616</v>
      </c>
      <c r="D534" t="s">
        <v>619</v>
      </c>
      <c r="E534" t="s">
        <v>620</v>
      </c>
      <c r="F534" t="s">
        <v>630</v>
      </c>
      <c r="G534" t="s">
        <v>631</v>
      </c>
      <c r="H534">
        <v>8</v>
      </c>
      <c r="I534">
        <v>320146</v>
      </c>
      <c r="J534">
        <v>2561168</v>
      </c>
      <c r="K534">
        <v>1764716.3060614101</v>
      </c>
      <c r="L534">
        <v>105414.7945850487</v>
      </c>
      <c r="M534">
        <v>2455753.2054149508</v>
      </c>
      <c r="N534">
        <v>691036.89935354074</v>
      </c>
    </row>
    <row r="535" spans="1:14" x14ac:dyDescent="0.25">
      <c r="A535" t="s">
        <v>539</v>
      </c>
      <c r="B535">
        <v>45427</v>
      </c>
      <c r="C535" t="s">
        <v>615</v>
      </c>
      <c r="D535" t="s">
        <v>619</v>
      </c>
      <c r="E535" t="s">
        <v>624</v>
      </c>
      <c r="F535" t="s">
        <v>628</v>
      </c>
      <c r="G535" t="s">
        <v>633</v>
      </c>
      <c r="H535">
        <v>9</v>
      </c>
      <c r="I535">
        <v>381927</v>
      </c>
      <c r="J535">
        <v>3437343</v>
      </c>
      <c r="K535">
        <v>2573180.779882608</v>
      </c>
      <c r="L535">
        <v>509803.41439513949</v>
      </c>
      <c r="M535">
        <v>2927539.58560486</v>
      </c>
      <c r="N535">
        <v>354358.805722252</v>
      </c>
    </row>
    <row r="536" spans="1:14" x14ac:dyDescent="0.25">
      <c r="A536" t="s">
        <v>540</v>
      </c>
      <c r="B536">
        <v>45552</v>
      </c>
      <c r="C536" t="s">
        <v>615</v>
      </c>
      <c r="D536" t="s">
        <v>618</v>
      </c>
      <c r="E536" t="s">
        <v>623</v>
      </c>
      <c r="F536" t="s">
        <v>625</v>
      </c>
      <c r="G536" t="s">
        <v>631</v>
      </c>
      <c r="H536">
        <v>8</v>
      </c>
      <c r="I536">
        <v>157524</v>
      </c>
      <c r="J536">
        <v>1260192</v>
      </c>
      <c r="K536">
        <v>926292.62154528219</v>
      </c>
      <c r="L536">
        <v>137783.66316109459</v>
      </c>
      <c r="M536">
        <v>1122408.336838905</v>
      </c>
      <c r="N536">
        <v>196115.71529362281</v>
      </c>
    </row>
    <row r="537" spans="1:14" x14ac:dyDescent="0.25">
      <c r="A537" t="s">
        <v>541</v>
      </c>
      <c r="B537">
        <v>45419</v>
      </c>
      <c r="C537" t="s">
        <v>616</v>
      </c>
      <c r="D537" t="s">
        <v>618</v>
      </c>
      <c r="E537" t="s">
        <v>624</v>
      </c>
      <c r="F537" t="s">
        <v>630</v>
      </c>
      <c r="G537" t="s">
        <v>632</v>
      </c>
      <c r="H537">
        <v>2</v>
      </c>
      <c r="I537">
        <v>268306</v>
      </c>
      <c r="J537">
        <v>536612</v>
      </c>
      <c r="K537">
        <v>312909.60526816198</v>
      </c>
      <c r="L537">
        <v>94924.379794630426</v>
      </c>
      <c r="M537">
        <v>441687.62020536949</v>
      </c>
      <c r="N537">
        <v>128778.01493720751</v>
      </c>
    </row>
    <row r="538" spans="1:14" x14ac:dyDescent="0.25">
      <c r="A538" t="s">
        <v>542</v>
      </c>
      <c r="B538">
        <v>45001</v>
      </c>
      <c r="C538" t="s">
        <v>617</v>
      </c>
      <c r="D538" t="s">
        <v>619</v>
      </c>
      <c r="E538" t="s">
        <v>622</v>
      </c>
      <c r="F538" t="s">
        <v>627</v>
      </c>
      <c r="G538" t="s">
        <v>632</v>
      </c>
      <c r="H538">
        <v>1</v>
      </c>
      <c r="I538">
        <v>437001</v>
      </c>
      <c r="J538">
        <v>437001</v>
      </c>
      <c r="K538">
        <v>341850.17249326262</v>
      </c>
      <c r="L538">
        <v>48419.121329624752</v>
      </c>
      <c r="M538">
        <v>388581.87867037533</v>
      </c>
      <c r="N538">
        <v>46731.706177112705</v>
      </c>
    </row>
    <row r="539" spans="1:14" x14ac:dyDescent="0.25">
      <c r="A539" t="s">
        <v>543</v>
      </c>
      <c r="B539">
        <v>45339</v>
      </c>
      <c r="C539" t="s">
        <v>617</v>
      </c>
      <c r="D539" t="s">
        <v>618</v>
      </c>
      <c r="E539" t="s">
        <v>624</v>
      </c>
      <c r="F539" t="s">
        <v>626</v>
      </c>
      <c r="G539" t="s">
        <v>631</v>
      </c>
      <c r="H539">
        <v>2</v>
      </c>
      <c r="I539">
        <v>69738</v>
      </c>
      <c r="J539">
        <v>139476</v>
      </c>
      <c r="K539">
        <v>74940.97817382362</v>
      </c>
      <c r="L539">
        <v>14911.636330209059</v>
      </c>
      <c r="M539">
        <v>124564.3636697909</v>
      </c>
      <c r="N539">
        <v>49623.385495967275</v>
      </c>
    </row>
    <row r="540" spans="1:14" x14ac:dyDescent="0.25">
      <c r="A540" t="s">
        <v>544</v>
      </c>
      <c r="B540">
        <v>45302</v>
      </c>
      <c r="C540" t="s">
        <v>617</v>
      </c>
      <c r="D540" t="s">
        <v>619</v>
      </c>
      <c r="E540" t="s">
        <v>622</v>
      </c>
      <c r="F540" t="s">
        <v>627</v>
      </c>
      <c r="G540" t="s">
        <v>632</v>
      </c>
      <c r="H540">
        <v>2</v>
      </c>
      <c r="I540">
        <v>322847</v>
      </c>
      <c r="J540">
        <v>645694</v>
      </c>
      <c r="K540">
        <v>492367.55802258989</v>
      </c>
      <c r="L540">
        <v>25241.211617974721</v>
      </c>
      <c r="M540">
        <v>620452.78838202532</v>
      </c>
      <c r="N540">
        <v>128085.23035943543</v>
      </c>
    </row>
    <row r="541" spans="1:14" x14ac:dyDescent="0.25">
      <c r="A541" t="s">
        <v>545</v>
      </c>
      <c r="B541">
        <v>45346</v>
      </c>
      <c r="C541" t="s">
        <v>616</v>
      </c>
      <c r="D541" t="s">
        <v>618</v>
      </c>
      <c r="E541" t="s">
        <v>622</v>
      </c>
      <c r="F541" t="s">
        <v>627</v>
      </c>
      <c r="G541" t="s">
        <v>633</v>
      </c>
      <c r="H541">
        <v>3</v>
      </c>
      <c r="I541">
        <v>163776</v>
      </c>
      <c r="J541">
        <v>491328</v>
      </c>
      <c r="K541">
        <v>388779.03928732139</v>
      </c>
      <c r="L541">
        <v>16334.627999623481</v>
      </c>
      <c r="M541">
        <v>474993.37200037652</v>
      </c>
      <c r="N541">
        <v>86214.332713055133</v>
      </c>
    </row>
    <row r="542" spans="1:14" x14ac:dyDescent="0.25">
      <c r="A542" t="s">
        <v>546</v>
      </c>
      <c r="B542">
        <v>45655</v>
      </c>
      <c r="C542" t="s">
        <v>615</v>
      </c>
      <c r="D542" t="s">
        <v>619</v>
      </c>
      <c r="E542" t="s">
        <v>621</v>
      </c>
      <c r="F542" t="s">
        <v>628</v>
      </c>
      <c r="G542" t="s">
        <v>633</v>
      </c>
      <c r="H542">
        <v>7</v>
      </c>
      <c r="I542">
        <v>230494</v>
      </c>
      <c r="J542">
        <v>1613458</v>
      </c>
      <c r="K542">
        <v>892477.93078151927</v>
      </c>
      <c r="L542">
        <v>295743.35055610712</v>
      </c>
      <c r="M542">
        <v>1317714.649443893</v>
      </c>
      <c r="N542">
        <v>425236.71866237372</v>
      </c>
    </row>
    <row r="543" spans="1:14" x14ac:dyDescent="0.25">
      <c r="A543" t="s">
        <v>547</v>
      </c>
      <c r="B543">
        <v>45203</v>
      </c>
      <c r="C543" t="s">
        <v>616</v>
      </c>
      <c r="D543" t="s">
        <v>618</v>
      </c>
      <c r="E543" t="s">
        <v>620</v>
      </c>
      <c r="F543" t="s">
        <v>628</v>
      </c>
      <c r="G543" t="s">
        <v>633</v>
      </c>
      <c r="H543">
        <v>2</v>
      </c>
      <c r="I543">
        <v>242971</v>
      </c>
      <c r="J543">
        <v>485942</v>
      </c>
      <c r="K543">
        <v>348235.66821139469</v>
      </c>
      <c r="L543">
        <v>31862.07000511665</v>
      </c>
      <c r="M543">
        <v>454079.92999488342</v>
      </c>
      <c r="N543">
        <v>105844.26178348874</v>
      </c>
    </row>
    <row r="544" spans="1:14" x14ac:dyDescent="0.25">
      <c r="A544" t="s">
        <v>548</v>
      </c>
      <c r="B544">
        <v>45602</v>
      </c>
      <c r="C544" t="s">
        <v>616</v>
      </c>
      <c r="D544" t="s">
        <v>618</v>
      </c>
      <c r="E544" t="s">
        <v>622</v>
      </c>
      <c r="F544" t="s">
        <v>630</v>
      </c>
      <c r="G544" t="s">
        <v>632</v>
      </c>
      <c r="H544">
        <v>1</v>
      </c>
      <c r="I544">
        <v>455608</v>
      </c>
      <c r="J544">
        <v>455608</v>
      </c>
      <c r="K544">
        <v>233310.3213918219</v>
      </c>
      <c r="L544">
        <v>33904.730403827023</v>
      </c>
      <c r="M544">
        <v>421703.26959617302</v>
      </c>
      <c r="N544">
        <v>188392.94820435112</v>
      </c>
    </row>
    <row r="545" spans="1:14" x14ac:dyDescent="0.25">
      <c r="A545" t="s">
        <v>549</v>
      </c>
      <c r="B545">
        <v>45320</v>
      </c>
      <c r="C545" t="s">
        <v>617</v>
      </c>
      <c r="D545" t="s">
        <v>619</v>
      </c>
      <c r="E545" t="s">
        <v>621</v>
      </c>
      <c r="F545" t="s">
        <v>625</v>
      </c>
      <c r="G545" t="s">
        <v>633</v>
      </c>
      <c r="H545">
        <v>6</v>
      </c>
      <c r="I545">
        <v>356868</v>
      </c>
      <c r="J545">
        <v>2141208</v>
      </c>
      <c r="K545">
        <v>1331032.3789711681</v>
      </c>
      <c r="L545">
        <v>325388.09920322662</v>
      </c>
      <c r="M545">
        <v>1815819.9007967729</v>
      </c>
      <c r="N545">
        <v>484787.52182560484</v>
      </c>
    </row>
    <row r="546" spans="1:14" x14ac:dyDescent="0.25">
      <c r="A546" t="s">
        <v>550</v>
      </c>
      <c r="B546">
        <v>45383</v>
      </c>
      <c r="C546" t="s">
        <v>613</v>
      </c>
      <c r="D546" t="s">
        <v>618</v>
      </c>
      <c r="E546" t="s">
        <v>620</v>
      </c>
      <c r="F546" t="s">
        <v>630</v>
      </c>
      <c r="G546" t="s">
        <v>632</v>
      </c>
      <c r="H546">
        <v>9</v>
      </c>
      <c r="I546">
        <v>344443</v>
      </c>
      <c r="J546">
        <v>3099987</v>
      </c>
      <c r="K546">
        <v>2030134.95474897</v>
      </c>
      <c r="L546">
        <v>210069.67816108631</v>
      </c>
      <c r="M546">
        <v>2889917.321838913</v>
      </c>
      <c r="N546">
        <v>859782.36708994303</v>
      </c>
    </row>
    <row r="547" spans="1:14" x14ac:dyDescent="0.25">
      <c r="A547" t="s">
        <v>551</v>
      </c>
      <c r="B547">
        <v>45118</v>
      </c>
      <c r="C547" t="s">
        <v>615</v>
      </c>
      <c r="D547" t="s">
        <v>618</v>
      </c>
      <c r="E547" t="s">
        <v>622</v>
      </c>
      <c r="F547" t="s">
        <v>629</v>
      </c>
      <c r="G547" t="s">
        <v>633</v>
      </c>
      <c r="H547">
        <v>3</v>
      </c>
      <c r="I547">
        <v>327785</v>
      </c>
      <c r="J547">
        <v>983355</v>
      </c>
      <c r="K547">
        <v>662971.61583731056</v>
      </c>
      <c r="L547">
        <v>187243.07344293929</v>
      </c>
      <c r="M547">
        <v>796111.92655706068</v>
      </c>
      <c r="N547">
        <v>133140.31071975012</v>
      </c>
    </row>
    <row r="548" spans="1:14" x14ac:dyDescent="0.25">
      <c r="A548" t="s">
        <v>552</v>
      </c>
      <c r="B548">
        <v>45615</v>
      </c>
      <c r="C548" t="s">
        <v>617</v>
      </c>
      <c r="D548" t="s">
        <v>619</v>
      </c>
      <c r="E548" t="s">
        <v>622</v>
      </c>
      <c r="F548" t="s">
        <v>627</v>
      </c>
      <c r="G548" t="s">
        <v>631</v>
      </c>
      <c r="H548">
        <v>6</v>
      </c>
      <c r="I548">
        <v>391678</v>
      </c>
      <c r="J548">
        <v>2350068</v>
      </c>
      <c r="K548">
        <v>1834888.8531350989</v>
      </c>
      <c r="L548">
        <v>346836.08724709449</v>
      </c>
      <c r="M548">
        <v>2003231.9127529049</v>
      </c>
      <c r="N548">
        <v>168343.05961780599</v>
      </c>
    </row>
    <row r="549" spans="1:14" x14ac:dyDescent="0.25">
      <c r="A549" t="s">
        <v>553</v>
      </c>
      <c r="B549">
        <v>45025</v>
      </c>
      <c r="C549" t="s">
        <v>613</v>
      </c>
      <c r="D549" t="s">
        <v>618</v>
      </c>
      <c r="E549" t="s">
        <v>624</v>
      </c>
      <c r="F549" t="s">
        <v>626</v>
      </c>
      <c r="G549" t="s">
        <v>632</v>
      </c>
      <c r="H549">
        <v>3</v>
      </c>
      <c r="I549">
        <v>318449</v>
      </c>
      <c r="J549">
        <v>955347</v>
      </c>
      <c r="K549">
        <v>670343.30320633412</v>
      </c>
      <c r="L549">
        <v>114150.44692095779</v>
      </c>
      <c r="M549">
        <v>841196.55307904212</v>
      </c>
      <c r="N549">
        <v>170853.24987270799</v>
      </c>
    </row>
    <row r="550" spans="1:14" x14ac:dyDescent="0.25">
      <c r="A550" t="s">
        <v>554</v>
      </c>
      <c r="B550">
        <v>45474</v>
      </c>
      <c r="C550" t="s">
        <v>613</v>
      </c>
      <c r="D550" t="s">
        <v>619</v>
      </c>
      <c r="E550" t="s">
        <v>624</v>
      </c>
      <c r="F550" t="s">
        <v>627</v>
      </c>
      <c r="G550" t="s">
        <v>632</v>
      </c>
      <c r="H550">
        <v>1</v>
      </c>
      <c r="I550">
        <v>279334</v>
      </c>
      <c r="J550">
        <v>279334</v>
      </c>
      <c r="K550">
        <v>179998.18856776229</v>
      </c>
      <c r="L550">
        <v>49212.79375512158</v>
      </c>
      <c r="M550">
        <v>230121.20624487841</v>
      </c>
      <c r="N550">
        <v>50123.01767711612</v>
      </c>
    </row>
    <row r="551" spans="1:14" x14ac:dyDescent="0.25">
      <c r="A551" t="s">
        <v>555</v>
      </c>
      <c r="B551">
        <v>45022</v>
      </c>
      <c r="C551" t="s">
        <v>614</v>
      </c>
      <c r="D551" t="s">
        <v>619</v>
      </c>
      <c r="E551" t="s">
        <v>620</v>
      </c>
      <c r="F551" t="s">
        <v>627</v>
      </c>
      <c r="G551" t="s">
        <v>633</v>
      </c>
      <c r="H551">
        <v>5</v>
      </c>
      <c r="I551">
        <v>330926</v>
      </c>
      <c r="J551">
        <v>1654630</v>
      </c>
      <c r="K551">
        <v>1229228.781576989</v>
      </c>
      <c r="L551">
        <v>16415.88482646093</v>
      </c>
      <c r="M551">
        <v>1638214.1151735389</v>
      </c>
      <c r="N551">
        <v>408985.33359654993</v>
      </c>
    </row>
    <row r="552" spans="1:14" x14ac:dyDescent="0.25">
      <c r="A552" t="s">
        <v>556</v>
      </c>
      <c r="B552">
        <v>45590</v>
      </c>
      <c r="C552" t="s">
        <v>615</v>
      </c>
      <c r="D552" t="s">
        <v>618</v>
      </c>
      <c r="E552" t="s">
        <v>622</v>
      </c>
      <c r="F552" t="s">
        <v>630</v>
      </c>
      <c r="G552" t="s">
        <v>632</v>
      </c>
      <c r="H552">
        <v>4</v>
      </c>
      <c r="I552">
        <v>390401</v>
      </c>
      <c r="J552">
        <v>1561604</v>
      </c>
      <c r="K552">
        <v>1226108.7566001071</v>
      </c>
      <c r="L552">
        <v>80286.025674687422</v>
      </c>
      <c r="M552">
        <v>1481317.974325313</v>
      </c>
      <c r="N552">
        <v>255209.21772520593</v>
      </c>
    </row>
    <row r="553" spans="1:14" x14ac:dyDescent="0.25">
      <c r="A553" t="s">
        <v>557</v>
      </c>
      <c r="B553">
        <v>45589</v>
      </c>
      <c r="C553" t="s">
        <v>613</v>
      </c>
      <c r="D553" t="s">
        <v>618</v>
      </c>
      <c r="E553" t="s">
        <v>623</v>
      </c>
      <c r="F553" t="s">
        <v>626</v>
      </c>
      <c r="G553" t="s">
        <v>632</v>
      </c>
      <c r="H553">
        <v>7</v>
      </c>
      <c r="I553">
        <v>286371</v>
      </c>
      <c r="J553">
        <v>2004597</v>
      </c>
      <c r="K553">
        <v>1015568.6206350219</v>
      </c>
      <c r="L553">
        <v>186442.08809404669</v>
      </c>
      <c r="M553">
        <v>1818154.911905953</v>
      </c>
      <c r="N553">
        <v>802586.29127093102</v>
      </c>
    </row>
    <row r="554" spans="1:14" x14ac:dyDescent="0.25">
      <c r="A554" t="s">
        <v>558</v>
      </c>
      <c r="B554">
        <v>45116</v>
      </c>
      <c r="C554" t="s">
        <v>617</v>
      </c>
      <c r="D554" t="s">
        <v>618</v>
      </c>
      <c r="E554" t="s">
        <v>624</v>
      </c>
      <c r="F554" t="s">
        <v>626</v>
      </c>
      <c r="G554" t="s">
        <v>631</v>
      </c>
      <c r="H554">
        <v>6</v>
      </c>
      <c r="I554">
        <v>127963</v>
      </c>
      <c r="J554">
        <v>767778</v>
      </c>
      <c r="K554">
        <v>610196.4652110592</v>
      </c>
      <c r="L554">
        <v>34853.825815673103</v>
      </c>
      <c r="M554">
        <v>732924.1741843269</v>
      </c>
      <c r="N554">
        <v>122727.7089732677</v>
      </c>
    </row>
    <row r="555" spans="1:14" x14ac:dyDescent="0.25">
      <c r="A555" t="s">
        <v>559</v>
      </c>
      <c r="B555">
        <v>44963</v>
      </c>
      <c r="C555" t="s">
        <v>614</v>
      </c>
      <c r="D555" t="s">
        <v>618</v>
      </c>
      <c r="E555" t="s">
        <v>620</v>
      </c>
      <c r="F555" t="s">
        <v>626</v>
      </c>
      <c r="G555" t="s">
        <v>631</v>
      </c>
      <c r="H555">
        <v>7</v>
      </c>
      <c r="I555">
        <v>171987</v>
      </c>
      <c r="J555">
        <v>1203909</v>
      </c>
      <c r="K555">
        <v>633063.07722240489</v>
      </c>
      <c r="L555">
        <v>179118.8300279493</v>
      </c>
      <c r="M555">
        <v>1024790.1699720511</v>
      </c>
      <c r="N555">
        <v>391727.09274964617</v>
      </c>
    </row>
    <row r="556" spans="1:14" x14ac:dyDescent="0.25">
      <c r="A556" t="s">
        <v>560</v>
      </c>
      <c r="B556">
        <v>45295</v>
      </c>
      <c r="C556" t="s">
        <v>615</v>
      </c>
      <c r="D556" t="s">
        <v>618</v>
      </c>
      <c r="E556" t="s">
        <v>622</v>
      </c>
      <c r="F556" t="s">
        <v>630</v>
      </c>
      <c r="G556" t="s">
        <v>633</v>
      </c>
      <c r="H556">
        <v>5</v>
      </c>
      <c r="I556">
        <v>201638</v>
      </c>
      <c r="J556">
        <v>1008190</v>
      </c>
      <c r="K556">
        <v>750411.98209729185</v>
      </c>
      <c r="L556">
        <v>185347.26896561109</v>
      </c>
      <c r="M556">
        <v>822842.731034389</v>
      </c>
      <c r="N556">
        <v>72430.748937097145</v>
      </c>
    </row>
    <row r="557" spans="1:14" x14ac:dyDescent="0.25">
      <c r="A557" t="s">
        <v>561</v>
      </c>
      <c r="B557">
        <v>45621</v>
      </c>
      <c r="C557" t="s">
        <v>616</v>
      </c>
      <c r="D557" t="s">
        <v>618</v>
      </c>
      <c r="E557" t="s">
        <v>622</v>
      </c>
      <c r="F557" t="s">
        <v>627</v>
      </c>
      <c r="G557" t="s">
        <v>631</v>
      </c>
      <c r="H557">
        <v>4</v>
      </c>
      <c r="I557">
        <v>174591</v>
      </c>
      <c r="J557">
        <v>698364</v>
      </c>
      <c r="K557">
        <v>407914.70973924443</v>
      </c>
      <c r="L557">
        <v>59189.159207087883</v>
      </c>
      <c r="M557">
        <v>639174.84079291206</v>
      </c>
      <c r="N557">
        <v>231260.13105366763</v>
      </c>
    </row>
    <row r="558" spans="1:14" x14ac:dyDescent="0.25">
      <c r="A558" t="s">
        <v>562</v>
      </c>
      <c r="B558">
        <v>45451</v>
      </c>
      <c r="C558" t="s">
        <v>617</v>
      </c>
      <c r="D558" t="s">
        <v>618</v>
      </c>
      <c r="E558" t="s">
        <v>623</v>
      </c>
      <c r="F558" t="s">
        <v>630</v>
      </c>
      <c r="G558" t="s">
        <v>633</v>
      </c>
      <c r="H558">
        <v>7</v>
      </c>
      <c r="I558">
        <v>117766</v>
      </c>
      <c r="J558">
        <v>824362</v>
      </c>
      <c r="K558">
        <v>444870.1661075892</v>
      </c>
      <c r="L558">
        <v>56408.222898688393</v>
      </c>
      <c r="M558">
        <v>767953.7771013116</v>
      </c>
      <c r="N558">
        <v>323083.6109937224</v>
      </c>
    </row>
    <row r="559" spans="1:14" x14ac:dyDescent="0.25">
      <c r="A559" t="s">
        <v>563</v>
      </c>
      <c r="B559">
        <v>45205</v>
      </c>
      <c r="C559" t="s">
        <v>613</v>
      </c>
      <c r="D559" t="s">
        <v>619</v>
      </c>
      <c r="E559" t="s">
        <v>620</v>
      </c>
      <c r="F559" t="s">
        <v>628</v>
      </c>
      <c r="G559" t="s">
        <v>633</v>
      </c>
      <c r="H559">
        <v>7</v>
      </c>
      <c r="I559">
        <v>56511</v>
      </c>
      <c r="J559">
        <v>395577</v>
      </c>
      <c r="K559">
        <v>249987.5323173239</v>
      </c>
      <c r="L559">
        <v>76073.47079335642</v>
      </c>
      <c r="M559">
        <v>319503.52920664358</v>
      </c>
      <c r="N559">
        <v>69515.996889319678</v>
      </c>
    </row>
    <row r="560" spans="1:14" x14ac:dyDescent="0.25">
      <c r="A560" t="s">
        <v>564</v>
      </c>
      <c r="B560">
        <v>45143</v>
      </c>
      <c r="C560" t="s">
        <v>613</v>
      </c>
      <c r="D560" t="s">
        <v>618</v>
      </c>
      <c r="E560" t="s">
        <v>622</v>
      </c>
      <c r="F560" t="s">
        <v>628</v>
      </c>
      <c r="G560" t="s">
        <v>633</v>
      </c>
      <c r="H560">
        <v>6</v>
      </c>
      <c r="I560">
        <v>164816</v>
      </c>
      <c r="J560">
        <v>988896</v>
      </c>
      <c r="K560">
        <v>685489.82567682816</v>
      </c>
      <c r="L560">
        <v>87982.558282684768</v>
      </c>
      <c r="M560">
        <v>900913.44171731523</v>
      </c>
      <c r="N560">
        <v>215423.61604048708</v>
      </c>
    </row>
    <row r="561" spans="1:14" x14ac:dyDescent="0.25">
      <c r="A561" t="s">
        <v>565</v>
      </c>
      <c r="B561">
        <v>45199</v>
      </c>
      <c r="C561" t="s">
        <v>617</v>
      </c>
      <c r="D561" t="s">
        <v>619</v>
      </c>
      <c r="E561" t="s">
        <v>624</v>
      </c>
      <c r="F561" t="s">
        <v>630</v>
      </c>
      <c r="G561" t="s">
        <v>632</v>
      </c>
      <c r="H561">
        <v>8</v>
      </c>
      <c r="I561">
        <v>299432</v>
      </c>
      <c r="J561">
        <v>2395456</v>
      </c>
      <c r="K561">
        <v>1471494.014861766</v>
      </c>
      <c r="L561">
        <v>234298.78502932761</v>
      </c>
      <c r="M561">
        <v>2161157.214970673</v>
      </c>
      <c r="N561">
        <v>689663.20010890695</v>
      </c>
    </row>
    <row r="562" spans="1:14" x14ac:dyDescent="0.25">
      <c r="A562" t="s">
        <v>566</v>
      </c>
      <c r="B562">
        <v>44988</v>
      </c>
      <c r="C562" t="s">
        <v>613</v>
      </c>
      <c r="D562" t="s">
        <v>618</v>
      </c>
      <c r="E562" t="s">
        <v>623</v>
      </c>
      <c r="F562" t="s">
        <v>626</v>
      </c>
      <c r="G562" t="s">
        <v>631</v>
      </c>
      <c r="H562">
        <v>4</v>
      </c>
      <c r="I562">
        <v>469393</v>
      </c>
      <c r="J562">
        <v>1877572</v>
      </c>
      <c r="K562">
        <v>969521.144828049</v>
      </c>
      <c r="L562">
        <v>132049.59082254721</v>
      </c>
      <c r="M562">
        <v>1745522.409177453</v>
      </c>
      <c r="N562">
        <v>776001.26434940402</v>
      </c>
    </row>
    <row r="563" spans="1:14" x14ac:dyDescent="0.25">
      <c r="A563" t="s">
        <v>567</v>
      </c>
      <c r="B563">
        <v>45522</v>
      </c>
      <c r="C563" t="s">
        <v>614</v>
      </c>
      <c r="D563" t="s">
        <v>618</v>
      </c>
      <c r="E563" t="s">
        <v>620</v>
      </c>
      <c r="F563" t="s">
        <v>627</v>
      </c>
      <c r="G563" t="s">
        <v>633</v>
      </c>
      <c r="H563">
        <v>5</v>
      </c>
      <c r="I563">
        <v>316909</v>
      </c>
      <c r="J563">
        <v>1584545</v>
      </c>
      <c r="K563">
        <v>1077234.445462157</v>
      </c>
      <c r="L563">
        <v>288244.09703380382</v>
      </c>
      <c r="M563">
        <v>1296300.902966196</v>
      </c>
      <c r="N563">
        <v>219066.45750403893</v>
      </c>
    </row>
    <row r="564" spans="1:14" x14ac:dyDescent="0.25">
      <c r="A564" t="s">
        <v>568</v>
      </c>
      <c r="B564">
        <v>45655</v>
      </c>
      <c r="C564" t="s">
        <v>615</v>
      </c>
      <c r="D564" t="s">
        <v>619</v>
      </c>
      <c r="E564" t="s">
        <v>623</v>
      </c>
      <c r="F564" t="s">
        <v>630</v>
      </c>
      <c r="G564" t="s">
        <v>631</v>
      </c>
      <c r="H564">
        <v>4</v>
      </c>
      <c r="I564">
        <v>201426</v>
      </c>
      <c r="J564">
        <v>805704</v>
      </c>
      <c r="K564">
        <v>620972.97875264252</v>
      </c>
      <c r="L564">
        <v>91681.941740424067</v>
      </c>
      <c r="M564">
        <v>714022.05825957598</v>
      </c>
      <c r="N564">
        <v>93049.079506933456</v>
      </c>
    </row>
    <row r="565" spans="1:14" x14ac:dyDescent="0.25">
      <c r="A565" t="s">
        <v>569</v>
      </c>
      <c r="B565">
        <v>45268</v>
      </c>
      <c r="C565" t="s">
        <v>614</v>
      </c>
      <c r="D565" t="s">
        <v>618</v>
      </c>
      <c r="E565" t="s">
        <v>624</v>
      </c>
      <c r="F565" t="s">
        <v>630</v>
      </c>
      <c r="G565" t="s">
        <v>633</v>
      </c>
      <c r="H565">
        <v>1</v>
      </c>
      <c r="I565">
        <v>336073</v>
      </c>
      <c r="J565">
        <v>336073</v>
      </c>
      <c r="K565">
        <v>206673.00130399721</v>
      </c>
      <c r="L565">
        <v>51229.260007579382</v>
      </c>
      <c r="M565">
        <v>284843.7399924206</v>
      </c>
      <c r="N565">
        <v>78170.738688423386</v>
      </c>
    </row>
    <row r="566" spans="1:14" x14ac:dyDescent="0.25">
      <c r="A566" t="s">
        <v>570</v>
      </c>
      <c r="B566">
        <v>45323</v>
      </c>
      <c r="C566" t="s">
        <v>613</v>
      </c>
      <c r="D566" t="s">
        <v>618</v>
      </c>
      <c r="E566" t="s">
        <v>620</v>
      </c>
      <c r="F566" t="s">
        <v>630</v>
      </c>
      <c r="G566" t="s">
        <v>631</v>
      </c>
      <c r="H566">
        <v>8</v>
      </c>
      <c r="I566">
        <v>209892</v>
      </c>
      <c r="J566">
        <v>1679136</v>
      </c>
      <c r="K566">
        <v>948543.64646997489</v>
      </c>
      <c r="L566">
        <v>272626.7771649668</v>
      </c>
      <c r="M566">
        <v>1406509.222835033</v>
      </c>
      <c r="N566">
        <v>457965.57636505808</v>
      </c>
    </row>
    <row r="567" spans="1:14" x14ac:dyDescent="0.25">
      <c r="A567" t="s">
        <v>571</v>
      </c>
      <c r="B567">
        <v>45625</v>
      </c>
      <c r="C567" t="s">
        <v>616</v>
      </c>
      <c r="D567" t="s">
        <v>619</v>
      </c>
      <c r="E567" t="s">
        <v>623</v>
      </c>
      <c r="F567" t="s">
        <v>629</v>
      </c>
      <c r="G567" t="s">
        <v>631</v>
      </c>
      <c r="H567">
        <v>1</v>
      </c>
      <c r="I567">
        <v>161576</v>
      </c>
      <c r="J567">
        <v>161576</v>
      </c>
      <c r="K567">
        <v>102240.96317393221</v>
      </c>
      <c r="L567">
        <v>11046.920159364579</v>
      </c>
      <c r="M567">
        <v>150529.07984063539</v>
      </c>
      <c r="N567">
        <v>48288.116666703179</v>
      </c>
    </row>
    <row r="568" spans="1:14" x14ac:dyDescent="0.25">
      <c r="A568" t="s">
        <v>572</v>
      </c>
      <c r="B568">
        <v>44945</v>
      </c>
      <c r="C568" t="s">
        <v>615</v>
      </c>
      <c r="D568" t="s">
        <v>618</v>
      </c>
      <c r="E568" t="s">
        <v>621</v>
      </c>
      <c r="F568" t="s">
        <v>628</v>
      </c>
      <c r="G568" t="s">
        <v>633</v>
      </c>
      <c r="H568">
        <v>5</v>
      </c>
      <c r="I568">
        <v>472739</v>
      </c>
      <c r="J568">
        <v>2363695</v>
      </c>
      <c r="K568">
        <v>1216141.909487735</v>
      </c>
      <c r="L568">
        <v>205024.2244940651</v>
      </c>
      <c r="M568">
        <v>2158670.7755059348</v>
      </c>
      <c r="N568">
        <v>942528.86601819983</v>
      </c>
    </row>
    <row r="569" spans="1:14" x14ac:dyDescent="0.25">
      <c r="A569" t="s">
        <v>573</v>
      </c>
      <c r="B569">
        <v>45103</v>
      </c>
      <c r="C569" t="s">
        <v>615</v>
      </c>
      <c r="D569" t="s">
        <v>618</v>
      </c>
      <c r="E569" t="s">
        <v>624</v>
      </c>
      <c r="F569" t="s">
        <v>626</v>
      </c>
      <c r="G569" t="s">
        <v>632</v>
      </c>
      <c r="H569">
        <v>6</v>
      </c>
      <c r="I569">
        <v>121088</v>
      </c>
      <c r="J569">
        <v>726528</v>
      </c>
      <c r="K569">
        <v>542096.16113318561</v>
      </c>
      <c r="L569">
        <v>123287.7002631669</v>
      </c>
      <c r="M569">
        <v>603240.29973683308</v>
      </c>
      <c r="N569">
        <v>61144.138603647472</v>
      </c>
    </row>
    <row r="570" spans="1:14" x14ac:dyDescent="0.25">
      <c r="A570" t="s">
        <v>574</v>
      </c>
      <c r="B570">
        <v>45538</v>
      </c>
      <c r="C570" t="s">
        <v>617</v>
      </c>
      <c r="D570" t="s">
        <v>618</v>
      </c>
      <c r="E570" t="s">
        <v>624</v>
      </c>
      <c r="F570" t="s">
        <v>625</v>
      </c>
      <c r="G570" t="s">
        <v>631</v>
      </c>
      <c r="H570">
        <v>6</v>
      </c>
      <c r="I570">
        <v>127525</v>
      </c>
      <c r="J570">
        <v>765150</v>
      </c>
      <c r="K570">
        <v>572257.40144956065</v>
      </c>
      <c r="L570">
        <v>55588.966466949241</v>
      </c>
      <c r="M570">
        <v>709561.0335330508</v>
      </c>
      <c r="N570">
        <v>137303.63208349014</v>
      </c>
    </row>
    <row r="571" spans="1:14" x14ac:dyDescent="0.25">
      <c r="A571" t="s">
        <v>575</v>
      </c>
      <c r="B571">
        <v>45322</v>
      </c>
      <c r="C571" t="s">
        <v>617</v>
      </c>
      <c r="D571" t="s">
        <v>619</v>
      </c>
      <c r="E571" t="s">
        <v>624</v>
      </c>
      <c r="F571" t="s">
        <v>626</v>
      </c>
      <c r="G571" t="s">
        <v>632</v>
      </c>
      <c r="H571">
        <v>5</v>
      </c>
      <c r="I571">
        <v>63780</v>
      </c>
      <c r="J571">
        <v>318900</v>
      </c>
      <c r="K571">
        <v>215704.00433631259</v>
      </c>
      <c r="L571">
        <v>50637.182811559083</v>
      </c>
      <c r="M571">
        <v>268262.81718844088</v>
      </c>
      <c r="N571">
        <v>52558.812852128292</v>
      </c>
    </row>
    <row r="572" spans="1:14" x14ac:dyDescent="0.25">
      <c r="A572" t="s">
        <v>576</v>
      </c>
      <c r="B572">
        <v>45371</v>
      </c>
      <c r="C572" t="s">
        <v>616</v>
      </c>
      <c r="D572" t="s">
        <v>618</v>
      </c>
      <c r="E572" t="s">
        <v>621</v>
      </c>
      <c r="F572" t="s">
        <v>625</v>
      </c>
      <c r="G572" t="s">
        <v>632</v>
      </c>
      <c r="H572">
        <v>3</v>
      </c>
      <c r="I572">
        <v>318733</v>
      </c>
      <c r="J572">
        <v>956199</v>
      </c>
      <c r="K572">
        <v>579390.48878999974</v>
      </c>
      <c r="L572">
        <v>179955.18357067081</v>
      </c>
      <c r="M572">
        <v>776243.8164293291</v>
      </c>
      <c r="N572">
        <v>196853.32763932936</v>
      </c>
    </row>
    <row r="573" spans="1:14" x14ac:dyDescent="0.25">
      <c r="A573" t="s">
        <v>577</v>
      </c>
      <c r="B573">
        <v>45159</v>
      </c>
      <c r="C573" t="s">
        <v>615</v>
      </c>
      <c r="D573" t="s">
        <v>618</v>
      </c>
      <c r="E573" t="s">
        <v>621</v>
      </c>
      <c r="F573" t="s">
        <v>629</v>
      </c>
      <c r="G573" t="s">
        <v>633</v>
      </c>
      <c r="H573">
        <v>5</v>
      </c>
      <c r="I573">
        <v>478028</v>
      </c>
      <c r="J573">
        <v>2390140</v>
      </c>
      <c r="K573">
        <v>1768548.2632089329</v>
      </c>
      <c r="L573">
        <v>297912.00821695331</v>
      </c>
      <c r="M573">
        <v>2092227.9917830471</v>
      </c>
      <c r="N573">
        <v>323679.72857411415</v>
      </c>
    </row>
    <row r="574" spans="1:14" x14ac:dyDescent="0.25">
      <c r="A574" t="s">
        <v>578</v>
      </c>
      <c r="B574">
        <v>45002</v>
      </c>
      <c r="C574" t="s">
        <v>616</v>
      </c>
      <c r="D574" t="s">
        <v>618</v>
      </c>
      <c r="E574" t="s">
        <v>622</v>
      </c>
      <c r="F574" t="s">
        <v>630</v>
      </c>
      <c r="G574" t="s">
        <v>633</v>
      </c>
      <c r="H574">
        <v>8</v>
      </c>
      <c r="I574">
        <v>405808</v>
      </c>
      <c r="J574">
        <v>3246464</v>
      </c>
      <c r="K574">
        <v>2163463.437172763</v>
      </c>
      <c r="L574">
        <v>481533.25802604179</v>
      </c>
      <c r="M574">
        <v>2764930.741973958</v>
      </c>
      <c r="N574">
        <v>601467.30480119493</v>
      </c>
    </row>
    <row r="575" spans="1:14" x14ac:dyDescent="0.25">
      <c r="A575" t="s">
        <v>579</v>
      </c>
      <c r="B575">
        <v>45191</v>
      </c>
      <c r="C575" t="s">
        <v>617</v>
      </c>
      <c r="D575" t="s">
        <v>618</v>
      </c>
      <c r="E575" t="s">
        <v>623</v>
      </c>
      <c r="F575" t="s">
        <v>629</v>
      </c>
      <c r="G575" t="s">
        <v>633</v>
      </c>
      <c r="H575">
        <v>2</v>
      </c>
      <c r="I575">
        <v>489155</v>
      </c>
      <c r="J575">
        <v>978310</v>
      </c>
      <c r="K575">
        <v>731560.35103326989</v>
      </c>
      <c r="L575">
        <v>157526.95026859251</v>
      </c>
      <c r="M575">
        <v>820783.04973140743</v>
      </c>
      <c r="N575">
        <v>89222.698698137538</v>
      </c>
    </row>
    <row r="576" spans="1:14" x14ac:dyDescent="0.25">
      <c r="A576" t="s">
        <v>580</v>
      </c>
      <c r="B576">
        <v>45381</v>
      </c>
      <c r="C576" t="s">
        <v>617</v>
      </c>
      <c r="D576" t="s">
        <v>619</v>
      </c>
      <c r="E576" t="s">
        <v>622</v>
      </c>
      <c r="F576" t="s">
        <v>629</v>
      </c>
      <c r="G576" t="s">
        <v>631</v>
      </c>
      <c r="H576">
        <v>6</v>
      </c>
      <c r="I576">
        <v>494709</v>
      </c>
      <c r="J576">
        <v>2968254</v>
      </c>
      <c r="K576">
        <v>2046426.0260759159</v>
      </c>
      <c r="L576">
        <v>501658.46359921101</v>
      </c>
      <c r="M576">
        <v>2466595.5364007889</v>
      </c>
      <c r="N576">
        <v>420169.51032487303</v>
      </c>
    </row>
    <row r="577" spans="1:14" x14ac:dyDescent="0.25">
      <c r="A577" t="s">
        <v>581</v>
      </c>
      <c r="B577">
        <v>45644</v>
      </c>
      <c r="C577" t="s">
        <v>615</v>
      </c>
      <c r="D577" t="s">
        <v>619</v>
      </c>
      <c r="E577" t="s">
        <v>623</v>
      </c>
      <c r="F577" t="s">
        <v>627</v>
      </c>
      <c r="G577" t="s">
        <v>633</v>
      </c>
      <c r="H577">
        <v>9</v>
      </c>
      <c r="I577">
        <v>154188</v>
      </c>
      <c r="J577">
        <v>1387692</v>
      </c>
      <c r="K577">
        <v>1020399.959980084</v>
      </c>
      <c r="L577">
        <v>109642.47130343461</v>
      </c>
      <c r="M577">
        <v>1278049.528696565</v>
      </c>
      <c r="N577">
        <v>257649.56871648098</v>
      </c>
    </row>
    <row r="578" spans="1:14" x14ac:dyDescent="0.25">
      <c r="A578" t="s">
        <v>582</v>
      </c>
      <c r="B578">
        <v>45310</v>
      </c>
      <c r="C578" t="s">
        <v>614</v>
      </c>
      <c r="D578" t="s">
        <v>618</v>
      </c>
      <c r="E578" t="s">
        <v>621</v>
      </c>
      <c r="F578" t="s">
        <v>628</v>
      </c>
      <c r="G578" t="s">
        <v>633</v>
      </c>
      <c r="H578">
        <v>8</v>
      </c>
      <c r="I578">
        <v>143326</v>
      </c>
      <c r="J578">
        <v>1146608</v>
      </c>
      <c r="K578">
        <v>779199.13495822891</v>
      </c>
      <c r="L578">
        <v>11755.81847977458</v>
      </c>
      <c r="M578">
        <v>1134852.181520225</v>
      </c>
      <c r="N578">
        <v>355653.0465619961</v>
      </c>
    </row>
    <row r="579" spans="1:14" x14ac:dyDescent="0.25">
      <c r="A579" t="s">
        <v>583</v>
      </c>
      <c r="B579">
        <v>45490</v>
      </c>
      <c r="C579" t="s">
        <v>613</v>
      </c>
      <c r="D579" t="s">
        <v>618</v>
      </c>
      <c r="E579" t="s">
        <v>621</v>
      </c>
      <c r="F579" t="s">
        <v>625</v>
      </c>
      <c r="G579" t="s">
        <v>631</v>
      </c>
      <c r="H579">
        <v>8</v>
      </c>
      <c r="I579">
        <v>353097</v>
      </c>
      <c r="J579">
        <v>2824776</v>
      </c>
      <c r="K579">
        <v>1763344.7250329929</v>
      </c>
      <c r="L579">
        <v>227042.08919180639</v>
      </c>
      <c r="M579">
        <v>2597733.910808193</v>
      </c>
      <c r="N579">
        <v>834389.18577520014</v>
      </c>
    </row>
    <row r="580" spans="1:14" x14ac:dyDescent="0.25">
      <c r="A580" t="s">
        <v>584</v>
      </c>
      <c r="B580">
        <v>45432</v>
      </c>
      <c r="C580" t="s">
        <v>617</v>
      </c>
      <c r="D580" t="s">
        <v>619</v>
      </c>
      <c r="E580" t="s">
        <v>622</v>
      </c>
      <c r="F580" t="s">
        <v>630</v>
      </c>
      <c r="G580" t="s">
        <v>631</v>
      </c>
      <c r="H580">
        <v>8</v>
      </c>
      <c r="I580">
        <v>115785</v>
      </c>
      <c r="J580">
        <v>926280</v>
      </c>
      <c r="K580">
        <v>729337.82733971486</v>
      </c>
      <c r="L580">
        <v>124817.3841048813</v>
      </c>
      <c r="M580">
        <v>801462.61589511868</v>
      </c>
      <c r="N580">
        <v>72124.788555403822</v>
      </c>
    </row>
    <row r="581" spans="1:14" x14ac:dyDescent="0.25">
      <c r="A581" t="s">
        <v>585</v>
      </c>
      <c r="B581">
        <v>45293</v>
      </c>
      <c r="C581" t="s">
        <v>617</v>
      </c>
      <c r="D581" t="s">
        <v>619</v>
      </c>
      <c r="E581" t="s">
        <v>620</v>
      </c>
      <c r="F581" t="s">
        <v>625</v>
      </c>
      <c r="G581" t="s">
        <v>633</v>
      </c>
      <c r="H581">
        <v>7</v>
      </c>
      <c r="I581">
        <v>69309</v>
      </c>
      <c r="J581">
        <v>485163</v>
      </c>
      <c r="K581">
        <v>321340.0219859085</v>
      </c>
      <c r="L581">
        <v>43698.668843313353</v>
      </c>
      <c r="M581">
        <v>441464.33115668659</v>
      </c>
      <c r="N581">
        <v>120124.30917077808</v>
      </c>
    </row>
    <row r="582" spans="1:14" x14ac:dyDescent="0.25">
      <c r="A582" t="s">
        <v>586</v>
      </c>
      <c r="B582">
        <v>45070</v>
      </c>
      <c r="C582" t="s">
        <v>614</v>
      </c>
      <c r="D582" t="s">
        <v>618</v>
      </c>
      <c r="E582" t="s">
        <v>622</v>
      </c>
      <c r="F582" t="s">
        <v>626</v>
      </c>
      <c r="G582" t="s">
        <v>633</v>
      </c>
      <c r="H582">
        <v>8</v>
      </c>
      <c r="I582">
        <v>104195</v>
      </c>
      <c r="J582">
        <v>833560</v>
      </c>
      <c r="K582">
        <v>568093.5257223954</v>
      </c>
      <c r="L582">
        <v>124861.14480623879</v>
      </c>
      <c r="M582">
        <v>708698.85519376118</v>
      </c>
      <c r="N582">
        <v>140605.32947136578</v>
      </c>
    </row>
    <row r="583" spans="1:14" x14ac:dyDescent="0.25">
      <c r="A583" t="s">
        <v>587</v>
      </c>
      <c r="B583">
        <v>44995</v>
      </c>
      <c r="C583" t="s">
        <v>614</v>
      </c>
      <c r="D583" t="s">
        <v>619</v>
      </c>
      <c r="E583" t="s">
        <v>623</v>
      </c>
      <c r="F583" t="s">
        <v>625</v>
      </c>
      <c r="G583" t="s">
        <v>633</v>
      </c>
      <c r="H583">
        <v>6</v>
      </c>
      <c r="I583">
        <v>75901</v>
      </c>
      <c r="J583">
        <v>455406</v>
      </c>
      <c r="K583">
        <v>257826.418174594</v>
      </c>
      <c r="L583">
        <v>32514.38805492127</v>
      </c>
      <c r="M583">
        <v>422891.61194507871</v>
      </c>
      <c r="N583">
        <v>165065.19377048471</v>
      </c>
    </row>
    <row r="584" spans="1:14" x14ac:dyDescent="0.25">
      <c r="A584" t="s">
        <v>588</v>
      </c>
      <c r="B584">
        <v>45025</v>
      </c>
      <c r="C584" t="s">
        <v>616</v>
      </c>
      <c r="D584" t="s">
        <v>618</v>
      </c>
      <c r="E584" t="s">
        <v>622</v>
      </c>
      <c r="F584" t="s">
        <v>626</v>
      </c>
      <c r="G584" t="s">
        <v>633</v>
      </c>
      <c r="H584">
        <v>2</v>
      </c>
      <c r="I584">
        <v>204648</v>
      </c>
      <c r="J584">
        <v>409296</v>
      </c>
      <c r="K584">
        <v>281470.90965282801</v>
      </c>
      <c r="L584">
        <v>51959.647595462979</v>
      </c>
      <c r="M584">
        <v>357336.35240453703</v>
      </c>
      <c r="N584">
        <v>75865.442751709023</v>
      </c>
    </row>
    <row r="585" spans="1:14" x14ac:dyDescent="0.25">
      <c r="A585" t="s">
        <v>589</v>
      </c>
      <c r="B585">
        <v>45322</v>
      </c>
      <c r="C585" t="s">
        <v>616</v>
      </c>
      <c r="D585" t="s">
        <v>619</v>
      </c>
      <c r="E585" t="s">
        <v>624</v>
      </c>
      <c r="F585" t="s">
        <v>628</v>
      </c>
      <c r="G585" t="s">
        <v>632</v>
      </c>
      <c r="H585">
        <v>2</v>
      </c>
      <c r="I585">
        <v>474724</v>
      </c>
      <c r="J585">
        <v>949448</v>
      </c>
      <c r="K585">
        <v>637537.52187588462</v>
      </c>
      <c r="L585">
        <v>35399.182175799288</v>
      </c>
      <c r="M585">
        <v>914048.81782420073</v>
      </c>
      <c r="N585">
        <v>276511.29594831611</v>
      </c>
    </row>
    <row r="586" spans="1:14" x14ac:dyDescent="0.25">
      <c r="A586" t="s">
        <v>590</v>
      </c>
      <c r="B586">
        <v>44951</v>
      </c>
      <c r="C586" t="s">
        <v>613</v>
      </c>
      <c r="D586" t="s">
        <v>619</v>
      </c>
      <c r="E586" t="s">
        <v>623</v>
      </c>
      <c r="F586" t="s">
        <v>626</v>
      </c>
      <c r="G586" t="s">
        <v>632</v>
      </c>
      <c r="H586">
        <v>8</v>
      </c>
      <c r="I586">
        <v>75464</v>
      </c>
      <c r="J586">
        <v>603712</v>
      </c>
      <c r="K586">
        <v>335332.74767041841</v>
      </c>
      <c r="L586">
        <v>90480.664267160057</v>
      </c>
      <c r="M586">
        <v>513231.33573283989</v>
      </c>
      <c r="N586">
        <v>177898.58806242148</v>
      </c>
    </row>
    <row r="587" spans="1:14" x14ac:dyDescent="0.25">
      <c r="A587" t="s">
        <v>591</v>
      </c>
      <c r="B587">
        <v>45395</v>
      </c>
      <c r="C587" t="s">
        <v>613</v>
      </c>
      <c r="D587" t="s">
        <v>619</v>
      </c>
      <c r="E587" t="s">
        <v>623</v>
      </c>
      <c r="F587" t="s">
        <v>625</v>
      </c>
      <c r="G587" t="s">
        <v>633</v>
      </c>
      <c r="H587">
        <v>1</v>
      </c>
      <c r="I587">
        <v>328404</v>
      </c>
      <c r="J587">
        <v>328404</v>
      </c>
      <c r="K587">
        <v>170072.5923357486</v>
      </c>
      <c r="L587">
        <v>35841.747788414577</v>
      </c>
      <c r="M587">
        <v>292562.25221158541</v>
      </c>
      <c r="N587">
        <v>122489.65987583681</v>
      </c>
    </row>
    <row r="588" spans="1:14" x14ac:dyDescent="0.25">
      <c r="A588" t="s">
        <v>592</v>
      </c>
      <c r="B588">
        <v>45410</v>
      </c>
      <c r="C588" t="s">
        <v>615</v>
      </c>
      <c r="D588" t="s">
        <v>619</v>
      </c>
      <c r="E588" t="s">
        <v>620</v>
      </c>
      <c r="F588" t="s">
        <v>625</v>
      </c>
      <c r="G588" t="s">
        <v>632</v>
      </c>
      <c r="H588">
        <v>6</v>
      </c>
      <c r="I588">
        <v>174997</v>
      </c>
      <c r="J588">
        <v>1049982</v>
      </c>
      <c r="K588">
        <v>715360.92216982646</v>
      </c>
      <c r="L588">
        <v>42852.78696298736</v>
      </c>
      <c r="M588">
        <v>1007129.213037013</v>
      </c>
      <c r="N588">
        <v>291768.2908671865</v>
      </c>
    </row>
    <row r="589" spans="1:14" x14ac:dyDescent="0.25">
      <c r="A589" t="s">
        <v>593</v>
      </c>
      <c r="B589">
        <v>45491</v>
      </c>
      <c r="C589" t="s">
        <v>616</v>
      </c>
      <c r="D589" t="s">
        <v>618</v>
      </c>
      <c r="E589" t="s">
        <v>621</v>
      </c>
      <c r="F589" t="s">
        <v>626</v>
      </c>
      <c r="G589" t="s">
        <v>631</v>
      </c>
      <c r="H589">
        <v>6</v>
      </c>
      <c r="I589">
        <v>347584</v>
      </c>
      <c r="J589">
        <v>2085504</v>
      </c>
      <c r="K589">
        <v>1520556.9847497509</v>
      </c>
      <c r="L589">
        <v>121756.3839948742</v>
      </c>
      <c r="M589">
        <v>1963747.6160051259</v>
      </c>
      <c r="N589">
        <v>443190.63125537499</v>
      </c>
    </row>
    <row r="590" spans="1:14" x14ac:dyDescent="0.25">
      <c r="A590" t="s">
        <v>594</v>
      </c>
      <c r="B590">
        <v>45077</v>
      </c>
      <c r="C590" t="s">
        <v>617</v>
      </c>
      <c r="D590" t="s">
        <v>619</v>
      </c>
      <c r="E590" t="s">
        <v>623</v>
      </c>
      <c r="F590" t="s">
        <v>629</v>
      </c>
      <c r="G590" t="s">
        <v>632</v>
      </c>
      <c r="H590">
        <v>4</v>
      </c>
      <c r="I590">
        <v>407226</v>
      </c>
      <c r="J590">
        <v>1628904</v>
      </c>
      <c r="K590">
        <v>1070223.176010103</v>
      </c>
      <c r="L590">
        <v>243882.34396875621</v>
      </c>
      <c r="M590">
        <v>1385021.656031244</v>
      </c>
      <c r="N590">
        <v>314798.480021141</v>
      </c>
    </row>
    <row r="591" spans="1:14" x14ac:dyDescent="0.25">
      <c r="A591" t="s">
        <v>595</v>
      </c>
      <c r="B591">
        <v>45070</v>
      </c>
      <c r="C591" t="s">
        <v>616</v>
      </c>
      <c r="D591" t="s">
        <v>619</v>
      </c>
      <c r="E591" t="s">
        <v>621</v>
      </c>
      <c r="F591" t="s">
        <v>628</v>
      </c>
      <c r="G591" t="s">
        <v>632</v>
      </c>
      <c r="H591">
        <v>3</v>
      </c>
      <c r="I591">
        <v>417727</v>
      </c>
      <c r="J591">
        <v>1253181</v>
      </c>
      <c r="K591">
        <v>711846.64361120958</v>
      </c>
      <c r="L591">
        <v>120957.33982150799</v>
      </c>
      <c r="M591">
        <v>1132223.6601784921</v>
      </c>
      <c r="N591">
        <v>420377.0165672825</v>
      </c>
    </row>
    <row r="592" spans="1:14" x14ac:dyDescent="0.25">
      <c r="A592" t="s">
        <v>596</v>
      </c>
      <c r="B592">
        <v>45495</v>
      </c>
      <c r="C592" t="s">
        <v>617</v>
      </c>
      <c r="D592" t="s">
        <v>618</v>
      </c>
      <c r="E592" t="s">
        <v>622</v>
      </c>
      <c r="F592" t="s">
        <v>627</v>
      </c>
      <c r="G592" t="s">
        <v>633</v>
      </c>
      <c r="H592">
        <v>3</v>
      </c>
      <c r="I592">
        <v>106683</v>
      </c>
      <c r="J592">
        <v>320049</v>
      </c>
      <c r="K592">
        <v>224020.40763558869</v>
      </c>
      <c r="L592">
        <v>13828.12929327247</v>
      </c>
      <c r="M592">
        <v>306220.87070672761</v>
      </c>
      <c r="N592">
        <v>82200.463071138918</v>
      </c>
    </row>
    <row r="593" spans="1:14" x14ac:dyDescent="0.25">
      <c r="A593" t="s">
        <v>597</v>
      </c>
      <c r="B593">
        <v>44965</v>
      </c>
      <c r="C593" t="s">
        <v>614</v>
      </c>
      <c r="D593" t="s">
        <v>619</v>
      </c>
      <c r="E593" t="s">
        <v>624</v>
      </c>
      <c r="F593" t="s">
        <v>630</v>
      </c>
      <c r="G593" t="s">
        <v>632</v>
      </c>
      <c r="H593">
        <v>1</v>
      </c>
      <c r="I593">
        <v>436350</v>
      </c>
      <c r="J593">
        <v>436350</v>
      </c>
      <c r="K593">
        <v>228661.24014183</v>
      </c>
      <c r="L593">
        <v>84413.756783615885</v>
      </c>
      <c r="M593">
        <v>351936.24321638409</v>
      </c>
      <c r="N593">
        <v>123275.00307455409</v>
      </c>
    </row>
    <row r="594" spans="1:14" x14ac:dyDescent="0.25">
      <c r="A594" t="s">
        <v>598</v>
      </c>
      <c r="B594">
        <v>45035</v>
      </c>
      <c r="C594" t="s">
        <v>616</v>
      </c>
      <c r="D594" t="s">
        <v>619</v>
      </c>
      <c r="E594" t="s">
        <v>620</v>
      </c>
      <c r="F594" t="s">
        <v>625</v>
      </c>
      <c r="G594" t="s">
        <v>632</v>
      </c>
      <c r="H594">
        <v>3</v>
      </c>
      <c r="I594">
        <v>222502</v>
      </c>
      <c r="J594">
        <v>667506</v>
      </c>
      <c r="K594">
        <v>422230.99468726013</v>
      </c>
      <c r="L594">
        <v>95470.048295578323</v>
      </c>
      <c r="M594">
        <v>572035.95170442166</v>
      </c>
      <c r="N594">
        <v>149804.95701716153</v>
      </c>
    </row>
    <row r="595" spans="1:14" x14ac:dyDescent="0.25">
      <c r="A595" t="s">
        <v>599</v>
      </c>
      <c r="B595">
        <v>45619</v>
      </c>
      <c r="C595" t="s">
        <v>614</v>
      </c>
      <c r="D595" t="s">
        <v>618</v>
      </c>
      <c r="E595" t="s">
        <v>621</v>
      </c>
      <c r="F595" t="s">
        <v>630</v>
      </c>
      <c r="G595" t="s">
        <v>632</v>
      </c>
      <c r="H595">
        <v>4</v>
      </c>
      <c r="I595">
        <v>445203</v>
      </c>
      <c r="J595">
        <v>1780812</v>
      </c>
      <c r="K595">
        <v>977683.64512710227</v>
      </c>
      <c r="L595">
        <v>340895.43908097188</v>
      </c>
      <c r="M595">
        <v>1439916.560919028</v>
      </c>
      <c r="N595">
        <v>462232.91579192574</v>
      </c>
    </row>
    <row r="596" spans="1:14" x14ac:dyDescent="0.25">
      <c r="A596" t="s">
        <v>600</v>
      </c>
      <c r="B596">
        <v>44968</v>
      </c>
      <c r="C596" t="s">
        <v>613</v>
      </c>
      <c r="D596" t="s">
        <v>619</v>
      </c>
      <c r="E596" t="s">
        <v>623</v>
      </c>
      <c r="F596" t="s">
        <v>627</v>
      </c>
      <c r="G596" t="s">
        <v>632</v>
      </c>
      <c r="H596">
        <v>5</v>
      </c>
      <c r="I596">
        <v>206177</v>
      </c>
      <c r="J596">
        <v>1030885</v>
      </c>
      <c r="K596">
        <v>572489.32065556035</v>
      </c>
      <c r="L596">
        <v>88059.236937259484</v>
      </c>
      <c r="M596">
        <v>942825.76306274056</v>
      </c>
      <c r="N596">
        <v>370336.44240718021</v>
      </c>
    </row>
    <row r="597" spans="1:14" x14ac:dyDescent="0.25">
      <c r="A597" t="s">
        <v>601</v>
      </c>
      <c r="B597">
        <v>45112</v>
      </c>
      <c r="C597" t="s">
        <v>613</v>
      </c>
      <c r="D597" t="s">
        <v>618</v>
      </c>
      <c r="E597" t="s">
        <v>621</v>
      </c>
      <c r="F597" t="s">
        <v>630</v>
      </c>
      <c r="G597" t="s">
        <v>631</v>
      </c>
      <c r="H597">
        <v>3</v>
      </c>
      <c r="I597">
        <v>128484</v>
      </c>
      <c r="J597">
        <v>385452</v>
      </c>
      <c r="K597">
        <v>216118.38218727839</v>
      </c>
      <c r="L597">
        <v>36625.675304061013</v>
      </c>
      <c r="M597">
        <v>348826.32469593902</v>
      </c>
      <c r="N597">
        <v>132707.94250866064</v>
      </c>
    </row>
    <row r="598" spans="1:14" x14ac:dyDescent="0.25">
      <c r="A598" t="s">
        <v>602</v>
      </c>
      <c r="B598">
        <v>45324</v>
      </c>
      <c r="C598" t="s">
        <v>615</v>
      </c>
      <c r="D598" t="s">
        <v>618</v>
      </c>
      <c r="E598" t="s">
        <v>623</v>
      </c>
      <c r="F598" t="s">
        <v>627</v>
      </c>
      <c r="G598" t="s">
        <v>633</v>
      </c>
      <c r="H598">
        <v>6</v>
      </c>
      <c r="I598">
        <v>299819</v>
      </c>
      <c r="J598">
        <v>1798914</v>
      </c>
      <c r="K598">
        <v>1108152.821644563</v>
      </c>
      <c r="L598">
        <v>323068.84195365151</v>
      </c>
      <c r="M598">
        <v>1475845.158046348</v>
      </c>
      <c r="N598">
        <v>367692.33640178503</v>
      </c>
    </row>
    <row r="599" spans="1:14" x14ac:dyDescent="0.25">
      <c r="A599" t="s">
        <v>603</v>
      </c>
      <c r="B599">
        <v>45149</v>
      </c>
      <c r="C599" t="s">
        <v>616</v>
      </c>
      <c r="D599" t="s">
        <v>618</v>
      </c>
      <c r="E599" t="s">
        <v>621</v>
      </c>
      <c r="F599" t="s">
        <v>626</v>
      </c>
      <c r="G599" t="s">
        <v>633</v>
      </c>
      <c r="H599">
        <v>5</v>
      </c>
      <c r="I599">
        <v>456242</v>
      </c>
      <c r="J599">
        <v>2281210</v>
      </c>
      <c r="K599">
        <v>1175610.3081689919</v>
      </c>
      <c r="L599">
        <v>239549.5610922348</v>
      </c>
      <c r="M599">
        <v>2041660.4389077651</v>
      </c>
      <c r="N599">
        <v>866050.13073877315</v>
      </c>
    </row>
    <row r="600" spans="1:14" x14ac:dyDescent="0.25">
      <c r="A600" t="s">
        <v>604</v>
      </c>
      <c r="B600">
        <v>45560</v>
      </c>
      <c r="C600" t="s">
        <v>614</v>
      </c>
      <c r="D600" t="s">
        <v>618</v>
      </c>
      <c r="E600" t="s">
        <v>623</v>
      </c>
      <c r="F600" t="s">
        <v>629</v>
      </c>
      <c r="G600" t="s">
        <v>631</v>
      </c>
      <c r="H600">
        <v>3</v>
      </c>
      <c r="I600">
        <v>380453</v>
      </c>
      <c r="J600">
        <v>1141359</v>
      </c>
      <c r="K600">
        <v>706887.03718361829</v>
      </c>
      <c r="L600">
        <v>161451.83032274811</v>
      </c>
      <c r="M600">
        <v>979907.16967725195</v>
      </c>
      <c r="N600">
        <v>273020.13249363366</v>
      </c>
    </row>
    <row r="601" spans="1:14" x14ac:dyDescent="0.25">
      <c r="A601" t="s">
        <v>605</v>
      </c>
      <c r="B601">
        <v>45059</v>
      </c>
      <c r="C601" t="s">
        <v>617</v>
      </c>
      <c r="D601" t="s">
        <v>619</v>
      </c>
      <c r="E601" t="s">
        <v>622</v>
      </c>
      <c r="F601" t="s">
        <v>625</v>
      </c>
      <c r="G601" t="s">
        <v>632</v>
      </c>
      <c r="H601">
        <v>6</v>
      </c>
      <c r="I601">
        <v>358071</v>
      </c>
      <c r="J601">
        <v>2148426</v>
      </c>
      <c r="K601">
        <v>1404022.6751324551</v>
      </c>
      <c r="L601">
        <v>108354.95330124231</v>
      </c>
      <c r="M601">
        <v>2040071.0466987579</v>
      </c>
      <c r="N601">
        <v>636048.37156630284</v>
      </c>
    </row>
    <row r="602" spans="1:14" x14ac:dyDescent="0.25">
      <c r="A602" t="s">
        <v>606</v>
      </c>
      <c r="B602">
        <v>45089</v>
      </c>
      <c r="C602" t="s">
        <v>613</v>
      </c>
      <c r="D602" t="s">
        <v>618</v>
      </c>
      <c r="E602" t="s">
        <v>623</v>
      </c>
      <c r="F602" t="s">
        <v>627</v>
      </c>
      <c r="G602" t="s">
        <v>631</v>
      </c>
      <c r="H602">
        <v>6</v>
      </c>
      <c r="I602">
        <v>256486</v>
      </c>
      <c r="J602">
        <v>1538916</v>
      </c>
      <c r="K602">
        <v>992582.79235297127</v>
      </c>
      <c r="L602">
        <v>137494.90206199861</v>
      </c>
      <c r="M602">
        <v>1401421.0979380009</v>
      </c>
      <c r="N602">
        <v>408838.30558502965</v>
      </c>
    </row>
    <row r="603" spans="1:14" x14ac:dyDescent="0.25">
      <c r="A603" t="s">
        <v>607</v>
      </c>
      <c r="B603">
        <v>45141</v>
      </c>
      <c r="C603" t="s">
        <v>613</v>
      </c>
      <c r="D603" t="s">
        <v>619</v>
      </c>
      <c r="E603" t="s">
        <v>623</v>
      </c>
      <c r="F603" t="s">
        <v>630</v>
      </c>
      <c r="G603" t="s">
        <v>632</v>
      </c>
      <c r="H603">
        <v>8</v>
      </c>
      <c r="I603">
        <v>355090</v>
      </c>
      <c r="J603">
        <v>2840720</v>
      </c>
      <c r="K603">
        <v>1746574.7349090769</v>
      </c>
      <c r="L603">
        <v>70137.300560958392</v>
      </c>
      <c r="M603">
        <v>2770582.6994390418</v>
      </c>
      <c r="N603">
        <v>1024007.9645299648</v>
      </c>
    </row>
    <row r="604" spans="1:14" x14ac:dyDescent="0.25">
      <c r="A604" t="s">
        <v>608</v>
      </c>
      <c r="B604">
        <v>45161</v>
      </c>
      <c r="C604" t="s">
        <v>617</v>
      </c>
      <c r="D604" t="s">
        <v>619</v>
      </c>
      <c r="E604" t="s">
        <v>624</v>
      </c>
      <c r="F604" t="s">
        <v>625</v>
      </c>
      <c r="G604" t="s">
        <v>631</v>
      </c>
      <c r="H604">
        <v>2</v>
      </c>
      <c r="I604">
        <v>438647</v>
      </c>
      <c r="J604">
        <v>877294</v>
      </c>
      <c r="K604">
        <v>659500.48531424685</v>
      </c>
      <c r="L604">
        <v>36141.009918928648</v>
      </c>
      <c r="M604">
        <v>841152.99008107139</v>
      </c>
      <c r="N604">
        <v>181652.50476682454</v>
      </c>
    </row>
    <row r="605" spans="1:14" x14ac:dyDescent="0.25">
      <c r="A605" t="s">
        <v>609</v>
      </c>
      <c r="B605">
        <v>45584</v>
      </c>
      <c r="C605" t="s">
        <v>614</v>
      </c>
      <c r="D605" t="s">
        <v>619</v>
      </c>
      <c r="E605" t="s">
        <v>623</v>
      </c>
      <c r="F605" t="s">
        <v>629</v>
      </c>
      <c r="G605" t="s">
        <v>633</v>
      </c>
      <c r="H605">
        <v>1</v>
      </c>
      <c r="I605">
        <v>499777</v>
      </c>
      <c r="J605">
        <v>499777</v>
      </c>
      <c r="K605">
        <v>271677.78150735272</v>
      </c>
      <c r="L605">
        <v>94.299450442172358</v>
      </c>
      <c r="M605">
        <v>499682.70054955781</v>
      </c>
      <c r="N605">
        <v>228004.91904220509</v>
      </c>
    </row>
    <row r="606" spans="1:14" x14ac:dyDescent="0.25">
      <c r="A606" t="s">
        <v>610</v>
      </c>
      <c r="B606">
        <v>45514</v>
      </c>
      <c r="C606" t="s">
        <v>614</v>
      </c>
      <c r="D606" t="s">
        <v>619</v>
      </c>
      <c r="E606" t="s">
        <v>624</v>
      </c>
      <c r="F606" t="s">
        <v>626</v>
      </c>
      <c r="G606" t="s">
        <v>633</v>
      </c>
      <c r="H606">
        <v>4</v>
      </c>
      <c r="I606">
        <v>191449</v>
      </c>
      <c r="J606">
        <v>765796</v>
      </c>
      <c r="K606">
        <v>499076.16308024043</v>
      </c>
      <c r="L606">
        <v>6013.8038984674822</v>
      </c>
      <c r="M606">
        <v>759782.19610153255</v>
      </c>
      <c r="N606">
        <v>260706.03302129213</v>
      </c>
    </row>
    <row r="607" spans="1:14" x14ac:dyDescent="0.25">
      <c r="A607" t="s">
        <v>611</v>
      </c>
      <c r="B607">
        <v>44935</v>
      </c>
      <c r="C607" t="s">
        <v>616</v>
      </c>
      <c r="D607" t="s">
        <v>619</v>
      </c>
      <c r="E607" t="s">
        <v>620</v>
      </c>
      <c r="F607" t="s">
        <v>625</v>
      </c>
      <c r="G607" t="s">
        <v>633</v>
      </c>
      <c r="H607">
        <v>7</v>
      </c>
      <c r="I607">
        <v>103592</v>
      </c>
      <c r="J607">
        <v>725144</v>
      </c>
      <c r="K607">
        <v>376068.68837726308</v>
      </c>
      <c r="L607">
        <v>141734.30013476219</v>
      </c>
      <c r="M607">
        <v>583409.69986523781</v>
      </c>
      <c r="N607">
        <v>207341.01148797473</v>
      </c>
    </row>
    <row r="608" spans="1:14" x14ac:dyDescent="0.25">
      <c r="A608" t="s">
        <v>612</v>
      </c>
      <c r="B608">
        <v>45000</v>
      </c>
      <c r="C608" t="s">
        <v>616</v>
      </c>
      <c r="D608" t="s">
        <v>619</v>
      </c>
      <c r="E608" t="s">
        <v>624</v>
      </c>
      <c r="F608" t="s">
        <v>627</v>
      </c>
      <c r="G608" t="s">
        <v>632</v>
      </c>
      <c r="H608">
        <v>3</v>
      </c>
      <c r="I608">
        <v>188419</v>
      </c>
      <c r="J608">
        <v>565257</v>
      </c>
      <c r="K608">
        <v>294694.87367264723</v>
      </c>
      <c r="L608">
        <v>27398.424530384171</v>
      </c>
      <c r="M608">
        <v>537858.57546961587</v>
      </c>
      <c r="N608">
        <v>243163.70179696864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A1:N601"/>
  <sheetViews>
    <sheetView topLeftCell="D1" zoomScale="87" zoomScaleNormal="87" workbookViewId="0">
      <selection activeCell="L21" sqref="L21"/>
    </sheetView>
  </sheetViews>
  <sheetFormatPr defaultRowHeight="15" x14ac:dyDescent="0.25"/>
  <cols>
    <col min="1" max="1" width="14.42578125" customWidth="1"/>
    <col min="2" max="2" width="21.28515625" customWidth="1"/>
    <col min="3" max="5" width="14.42578125" customWidth="1"/>
    <col min="6" max="6" width="17.85546875" customWidth="1"/>
    <col min="7" max="7" width="16" customWidth="1"/>
    <col min="8" max="12" width="14.42578125" customWidth="1"/>
    <col min="13" max="13" width="15.140625" customWidth="1"/>
    <col min="14" max="14" width="14.42578125" customWidth="1"/>
    <col min="18" max="18" width="12.85546875" bestFit="1" customWidth="1"/>
    <col min="23" max="23" width="12.855468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5" t="s">
        <v>638</v>
      </c>
    </row>
    <row r="2" spans="1:14" x14ac:dyDescent="0.25">
      <c r="A2" t="s">
        <v>13</v>
      </c>
      <c r="B2" s="2">
        <v>45029</v>
      </c>
      <c r="C2" t="s">
        <v>613</v>
      </c>
      <c r="D2" t="s">
        <v>618</v>
      </c>
      <c r="E2" t="s">
        <v>620</v>
      </c>
      <c r="F2" t="s">
        <v>625</v>
      </c>
      <c r="G2" t="s">
        <v>631</v>
      </c>
      <c r="H2">
        <v>7</v>
      </c>
      <c r="I2" s="35">
        <v>304466</v>
      </c>
      <c r="J2" s="35">
        <v>2131262</v>
      </c>
      <c r="K2" s="35">
        <v>1072543.3755191551</v>
      </c>
      <c r="L2" s="35">
        <v>244611.69570290149</v>
      </c>
      <c r="M2" s="35">
        <v>1886650.304297098</v>
      </c>
      <c r="N2" s="35">
        <v>814106.9287779429</v>
      </c>
    </row>
    <row r="3" spans="1:14" x14ac:dyDescent="0.25">
      <c r="A3" t="s">
        <v>14</v>
      </c>
      <c r="B3" s="2">
        <v>45362</v>
      </c>
      <c r="C3" t="s">
        <v>614</v>
      </c>
      <c r="D3" t="s">
        <v>618</v>
      </c>
      <c r="E3" t="s">
        <v>620</v>
      </c>
      <c r="F3" t="s">
        <v>626</v>
      </c>
      <c r="G3" t="s">
        <v>632</v>
      </c>
      <c r="H3">
        <v>9</v>
      </c>
      <c r="I3" s="35">
        <v>489503</v>
      </c>
      <c r="J3" s="35">
        <v>4405527</v>
      </c>
      <c r="K3" s="35">
        <v>3295181.4222688498</v>
      </c>
      <c r="L3" s="35">
        <v>498721.89066815347</v>
      </c>
      <c r="M3" s="35">
        <v>3906805.1093318472</v>
      </c>
      <c r="N3" s="35">
        <v>611623.68706299702</v>
      </c>
    </row>
    <row r="4" spans="1:14" x14ac:dyDescent="0.25">
      <c r="A4" t="s">
        <v>15</v>
      </c>
      <c r="B4" s="2">
        <v>45197</v>
      </c>
      <c r="C4" t="s">
        <v>615</v>
      </c>
      <c r="D4" t="s">
        <v>618</v>
      </c>
      <c r="E4" t="s">
        <v>621</v>
      </c>
      <c r="F4" t="s">
        <v>627</v>
      </c>
      <c r="G4" t="s">
        <v>632</v>
      </c>
      <c r="H4">
        <v>4</v>
      </c>
      <c r="I4" s="35">
        <v>136724</v>
      </c>
      <c r="J4" s="35">
        <v>546896</v>
      </c>
      <c r="K4" s="35">
        <v>404863.94233833958</v>
      </c>
      <c r="L4" s="35">
        <v>96038.60320811643</v>
      </c>
      <c r="M4" s="35">
        <v>450857.39679188363</v>
      </c>
      <c r="N4" s="35">
        <v>45993.454453544051</v>
      </c>
    </row>
    <row r="5" spans="1:14" x14ac:dyDescent="0.25">
      <c r="A5" t="s">
        <v>16</v>
      </c>
      <c r="B5" s="2">
        <v>45033</v>
      </c>
      <c r="C5" t="s">
        <v>616</v>
      </c>
      <c r="D5" t="s">
        <v>619</v>
      </c>
      <c r="E5" t="s">
        <v>622</v>
      </c>
      <c r="F5" t="s">
        <v>626</v>
      </c>
      <c r="G5" t="s">
        <v>633</v>
      </c>
      <c r="H5">
        <v>3</v>
      </c>
      <c r="I5" s="35">
        <v>279204</v>
      </c>
      <c r="J5" s="35">
        <v>837612</v>
      </c>
      <c r="K5" s="35">
        <v>445053.70734447119</v>
      </c>
      <c r="L5" s="35">
        <v>93456.337043397056</v>
      </c>
      <c r="M5" s="35">
        <v>744155.66295660299</v>
      </c>
      <c r="N5" s="35">
        <v>299101.9556121318</v>
      </c>
    </row>
    <row r="6" spans="1:14" x14ac:dyDescent="0.25">
      <c r="A6" t="s">
        <v>17</v>
      </c>
      <c r="B6" s="2">
        <v>44998</v>
      </c>
      <c r="C6" t="s">
        <v>616</v>
      </c>
      <c r="D6" t="s">
        <v>618</v>
      </c>
      <c r="E6" t="s">
        <v>623</v>
      </c>
      <c r="F6" t="s">
        <v>626</v>
      </c>
      <c r="G6" t="s">
        <v>633</v>
      </c>
      <c r="H6">
        <v>5</v>
      </c>
      <c r="I6" s="35">
        <v>146393</v>
      </c>
      <c r="J6" s="35">
        <v>731965</v>
      </c>
      <c r="K6" s="35">
        <v>492654.32389423909</v>
      </c>
      <c r="L6" s="35">
        <v>140506.68685012721</v>
      </c>
      <c r="M6" s="35">
        <v>591458.3131498727</v>
      </c>
      <c r="N6" s="35">
        <v>98803.989255633613</v>
      </c>
    </row>
    <row r="7" spans="1:14" x14ac:dyDescent="0.25">
      <c r="A7" t="s">
        <v>18</v>
      </c>
      <c r="B7" s="2">
        <v>45627</v>
      </c>
      <c r="C7" t="s">
        <v>613</v>
      </c>
      <c r="D7" t="s">
        <v>619</v>
      </c>
      <c r="E7" t="s">
        <v>622</v>
      </c>
      <c r="F7" t="s">
        <v>626</v>
      </c>
      <c r="G7" t="s">
        <v>633</v>
      </c>
      <c r="H7">
        <v>1</v>
      </c>
      <c r="I7" s="35">
        <v>439458</v>
      </c>
      <c r="J7" s="35">
        <v>439458</v>
      </c>
      <c r="K7" s="35">
        <v>280899.14073390717</v>
      </c>
      <c r="L7" s="35">
        <v>4279.868137627268</v>
      </c>
      <c r="M7" s="35">
        <v>435178.13186237268</v>
      </c>
      <c r="N7" s="35">
        <v>154278.99112846551</v>
      </c>
    </row>
    <row r="8" spans="1:14" x14ac:dyDescent="0.25">
      <c r="A8" t="s">
        <v>19</v>
      </c>
      <c r="B8" s="2">
        <v>44947</v>
      </c>
      <c r="C8" t="s">
        <v>615</v>
      </c>
      <c r="D8" t="s">
        <v>618</v>
      </c>
      <c r="E8" t="s">
        <v>621</v>
      </c>
      <c r="F8" t="s">
        <v>628</v>
      </c>
      <c r="G8" t="s">
        <v>631</v>
      </c>
      <c r="H8">
        <v>3</v>
      </c>
      <c r="I8" s="35">
        <v>126312</v>
      </c>
      <c r="J8" s="35">
        <v>378936</v>
      </c>
      <c r="K8" s="35">
        <v>202962.94494475221</v>
      </c>
      <c r="L8" s="35">
        <v>7427.7280080149803</v>
      </c>
      <c r="M8" s="35">
        <v>371508.27199198498</v>
      </c>
      <c r="N8" s="35">
        <v>168545.32704723277</v>
      </c>
    </row>
    <row r="9" spans="1:14" x14ac:dyDescent="0.25">
      <c r="A9" t="s">
        <v>20</v>
      </c>
      <c r="B9" s="2">
        <v>45541</v>
      </c>
      <c r="C9" t="s">
        <v>613</v>
      </c>
      <c r="D9" t="s">
        <v>619</v>
      </c>
      <c r="E9" t="s">
        <v>621</v>
      </c>
      <c r="F9" t="s">
        <v>625</v>
      </c>
      <c r="G9" t="s">
        <v>631</v>
      </c>
      <c r="H9">
        <v>8</v>
      </c>
      <c r="I9" s="35">
        <v>387468</v>
      </c>
      <c r="J9" s="35">
        <v>3099744</v>
      </c>
      <c r="K9" s="35">
        <v>2461725.1435266351</v>
      </c>
      <c r="L9" s="35">
        <v>27318.57800152406</v>
      </c>
      <c r="M9" s="35">
        <v>3072425.4219984761</v>
      </c>
      <c r="N9" s="35">
        <v>610700.27847184101</v>
      </c>
    </row>
    <row r="10" spans="1:14" x14ac:dyDescent="0.25">
      <c r="A10" t="s">
        <v>21</v>
      </c>
      <c r="B10" s="2">
        <v>45048</v>
      </c>
      <c r="C10" t="s">
        <v>617</v>
      </c>
      <c r="D10" t="s">
        <v>618</v>
      </c>
      <c r="E10" t="s">
        <v>621</v>
      </c>
      <c r="F10" t="s">
        <v>629</v>
      </c>
      <c r="G10" t="s">
        <v>631</v>
      </c>
      <c r="H10">
        <v>8</v>
      </c>
      <c r="I10" s="35">
        <v>121196</v>
      </c>
      <c r="J10" s="35">
        <v>969568</v>
      </c>
      <c r="K10" s="35">
        <v>547232.6786648212</v>
      </c>
      <c r="L10" s="35">
        <v>35927.701044837937</v>
      </c>
      <c r="M10" s="35">
        <v>933640.29895516206</v>
      </c>
      <c r="N10" s="35">
        <v>386407.62029034086</v>
      </c>
    </row>
    <row r="11" spans="1:14" x14ac:dyDescent="0.25">
      <c r="A11" t="s">
        <v>22</v>
      </c>
      <c r="B11" s="2">
        <v>45393</v>
      </c>
      <c r="C11" t="s">
        <v>613</v>
      </c>
      <c r="D11" t="s">
        <v>618</v>
      </c>
      <c r="E11" t="s">
        <v>624</v>
      </c>
      <c r="F11" t="s">
        <v>629</v>
      </c>
      <c r="G11" t="s">
        <v>633</v>
      </c>
      <c r="H11">
        <v>4</v>
      </c>
      <c r="I11" s="35">
        <v>120014</v>
      </c>
      <c r="J11" s="35">
        <v>480056</v>
      </c>
      <c r="K11" s="35">
        <v>249710.8514672663</v>
      </c>
      <c r="L11" s="35">
        <v>51967.992875643649</v>
      </c>
      <c r="M11" s="35">
        <v>428088.00712435629</v>
      </c>
      <c r="N11" s="35">
        <v>178377.15565708998</v>
      </c>
    </row>
    <row r="12" spans="1:14" x14ac:dyDescent="0.25">
      <c r="A12" t="s">
        <v>23</v>
      </c>
      <c r="B12" s="2">
        <v>45141</v>
      </c>
      <c r="C12" t="s">
        <v>613</v>
      </c>
      <c r="D12" t="s">
        <v>618</v>
      </c>
      <c r="E12" t="s">
        <v>622</v>
      </c>
      <c r="F12" t="s">
        <v>627</v>
      </c>
      <c r="G12" t="s">
        <v>632</v>
      </c>
      <c r="H12">
        <v>2</v>
      </c>
      <c r="I12" s="35">
        <v>451426</v>
      </c>
      <c r="J12" s="35">
        <v>902852</v>
      </c>
      <c r="K12" s="35">
        <v>612543.74388341745</v>
      </c>
      <c r="L12" s="35">
        <v>116571.2270292233</v>
      </c>
      <c r="M12" s="35">
        <v>786280.77297077677</v>
      </c>
      <c r="N12" s="35">
        <v>173737.02908735932</v>
      </c>
    </row>
    <row r="13" spans="1:14" x14ac:dyDescent="0.25">
      <c r="A13" t="s">
        <v>24</v>
      </c>
      <c r="B13" s="2">
        <v>45257</v>
      </c>
      <c r="C13" t="s">
        <v>616</v>
      </c>
      <c r="D13" t="s">
        <v>618</v>
      </c>
      <c r="E13" t="s">
        <v>622</v>
      </c>
      <c r="F13" t="s">
        <v>626</v>
      </c>
      <c r="G13" t="s">
        <v>632</v>
      </c>
      <c r="H13">
        <v>8</v>
      </c>
      <c r="I13" s="35">
        <v>191994</v>
      </c>
      <c r="J13" s="35">
        <v>1535952</v>
      </c>
      <c r="K13" s="35">
        <v>1108435.125142751</v>
      </c>
      <c r="L13" s="35">
        <v>14003.322904314749</v>
      </c>
      <c r="M13" s="35">
        <v>1521948.6770956849</v>
      </c>
      <c r="N13" s="35">
        <v>413513.55195293389</v>
      </c>
    </row>
    <row r="14" spans="1:14" x14ac:dyDescent="0.25">
      <c r="A14" t="s">
        <v>25</v>
      </c>
      <c r="B14" s="2">
        <v>45385</v>
      </c>
      <c r="C14" t="s">
        <v>616</v>
      </c>
      <c r="D14" t="s">
        <v>618</v>
      </c>
      <c r="E14" t="s">
        <v>620</v>
      </c>
      <c r="F14" t="s">
        <v>627</v>
      </c>
      <c r="G14" t="s">
        <v>631</v>
      </c>
      <c r="H14">
        <v>8</v>
      </c>
      <c r="I14" s="35">
        <v>479505</v>
      </c>
      <c r="J14" s="35">
        <v>3836040</v>
      </c>
      <c r="K14" s="35">
        <v>1955356.307032455</v>
      </c>
      <c r="L14" s="35">
        <v>725756.43445666251</v>
      </c>
      <c r="M14" s="35">
        <v>3110283.5655433382</v>
      </c>
      <c r="N14" s="35">
        <v>1154927.2585108832</v>
      </c>
    </row>
    <row r="15" spans="1:14" x14ac:dyDescent="0.25">
      <c r="A15" t="s">
        <v>26</v>
      </c>
      <c r="B15" s="2">
        <v>45014</v>
      </c>
      <c r="C15" t="s">
        <v>616</v>
      </c>
      <c r="D15" t="s">
        <v>619</v>
      </c>
      <c r="E15" t="s">
        <v>620</v>
      </c>
      <c r="F15" t="s">
        <v>628</v>
      </c>
      <c r="G15" t="s">
        <v>631</v>
      </c>
      <c r="H15">
        <v>4</v>
      </c>
      <c r="I15" s="35">
        <v>83340</v>
      </c>
      <c r="J15" s="35">
        <v>333360</v>
      </c>
      <c r="K15" s="35">
        <v>232557.033613812</v>
      </c>
      <c r="L15" s="35">
        <v>56148.849992034207</v>
      </c>
      <c r="M15" s="35">
        <v>277211.1500079658</v>
      </c>
      <c r="N15" s="35">
        <v>44654.116394153796</v>
      </c>
    </row>
    <row r="16" spans="1:14" x14ac:dyDescent="0.25">
      <c r="A16" t="s">
        <v>27</v>
      </c>
      <c r="B16" s="2">
        <v>45299</v>
      </c>
      <c r="C16" t="s">
        <v>617</v>
      </c>
      <c r="D16" t="s">
        <v>618</v>
      </c>
      <c r="E16" t="s">
        <v>620</v>
      </c>
      <c r="F16" t="s">
        <v>628</v>
      </c>
      <c r="G16" t="s">
        <v>632</v>
      </c>
      <c r="H16">
        <v>3</v>
      </c>
      <c r="I16" s="35">
        <v>351994</v>
      </c>
      <c r="J16" s="35">
        <v>1055982</v>
      </c>
      <c r="K16" s="35">
        <v>696618.19192529074</v>
      </c>
      <c r="L16" s="35">
        <v>62643.488426642303</v>
      </c>
      <c r="M16" s="35">
        <v>993338.51157335774</v>
      </c>
      <c r="N16" s="35">
        <v>296720.319648067</v>
      </c>
    </row>
    <row r="17" spans="1:14" x14ac:dyDescent="0.25">
      <c r="A17" t="s">
        <v>28</v>
      </c>
      <c r="B17" s="2">
        <v>45026</v>
      </c>
      <c r="C17" t="s">
        <v>616</v>
      </c>
      <c r="D17" t="s">
        <v>618</v>
      </c>
      <c r="E17" t="s">
        <v>621</v>
      </c>
      <c r="F17" t="s">
        <v>630</v>
      </c>
      <c r="G17" t="s">
        <v>632</v>
      </c>
      <c r="H17">
        <v>2</v>
      </c>
      <c r="I17" s="35">
        <v>163711</v>
      </c>
      <c r="J17" s="35">
        <v>327422</v>
      </c>
      <c r="K17" s="35">
        <v>173854.37072076579</v>
      </c>
      <c r="L17" s="35">
        <v>5054.5791043621184</v>
      </c>
      <c r="M17" s="35">
        <v>322367.42089563789</v>
      </c>
      <c r="N17" s="35">
        <v>148513.0501748721</v>
      </c>
    </row>
    <row r="18" spans="1:14" x14ac:dyDescent="0.25">
      <c r="A18" t="s">
        <v>29</v>
      </c>
      <c r="B18" s="2">
        <v>45590</v>
      </c>
      <c r="C18" t="s">
        <v>615</v>
      </c>
      <c r="D18" t="s">
        <v>618</v>
      </c>
      <c r="E18" t="s">
        <v>622</v>
      </c>
      <c r="F18" t="s">
        <v>628</v>
      </c>
      <c r="G18" t="s">
        <v>631</v>
      </c>
      <c r="H18">
        <v>9</v>
      </c>
      <c r="I18" s="35">
        <v>265250</v>
      </c>
      <c r="J18" s="35">
        <v>2387250</v>
      </c>
      <c r="K18" s="35">
        <v>1317182.2875720609</v>
      </c>
      <c r="L18" s="35">
        <v>81112.583108438892</v>
      </c>
      <c r="M18" s="35">
        <v>2306137.4168915609</v>
      </c>
      <c r="N18" s="35">
        <v>988955.12931949995</v>
      </c>
    </row>
    <row r="19" spans="1:14" x14ac:dyDescent="0.25">
      <c r="A19" t="s">
        <v>30</v>
      </c>
      <c r="B19" s="2">
        <v>45057</v>
      </c>
      <c r="C19" t="s">
        <v>614</v>
      </c>
      <c r="D19" t="s">
        <v>619</v>
      </c>
      <c r="E19" t="s">
        <v>621</v>
      </c>
      <c r="F19" t="s">
        <v>630</v>
      </c>
      <c r="G19" t="s">
        <v>631</v>
      </c>
      <c r="H19">
        <v>1</v>
      </c>
      <c r="I19" s="35">
        <v>61094</v>
      </c>
      <c r="J19" s="35">
        <v>61094</v>
      </c>
      <c r="K19" s="35">
        <v>40956.946516068587</v>
      </c>
      <c r="L19" s="35">
        <v>1551.10840278926</v>
      </c>
      <c r="M19" s="35">
        <v>59542.891597210742</v>
      </c>
      <c r="N19" s="35">
        <v>18585.945081142156</v>
      </c>
    </row>
    <row r="20" spans="1:14" x14ac:dyDescent="0.25">
      <c r="A20" t="s">
        <v>31</v>
      </c>
      <c r="B20" s="2">
        <v>45588</v>
      </c>
      <c r="C20" t="s">
        <v>615</v>
      </c>
      <c r="D20" t="s">
        <v>618</v>
      </c>
      <c r="E20" t="s">
        <v>624</v>
      </c>
      <c r="F20" t="s">
        <v>625</v>
      </c>
      <c r="G20" t="s">
        <v>632</v>
      </c>
      <c r="H20">
        <v>7</v>
      </c>
      <c r="I20" s="35">
        <v>400103</v>
      </c>
      <c r="J20" s="35">
        <v>2800721</v>
      </c>
      <c r="K20" s="35">
        <v>1649364.9975029649</v>
      </c>
      <c r="L20" s="35">
        <v>69056.693928385139</v>
      </c>
      <c r="M20" s="35">
        <v>2731664.3060716148</v>
      </c>
      <c r="N20" s="35">
        <v>1082299.3085686499</v>
      </c>
    </row>
    <row r="21" spans="1:14" x14ac:dyDescent="0.25">
      <c r="A21" t="s">
        <v>32</v>
      </c>
      <c r="B21" s="2">
        <v>45235</v>
      </c>
      <c r="C21" t="s">
        <v>615</v>
      </c>
      <c r="D21" t="s">
        <v>619</v>
      </c>
      <c r="E21" t="s">
        <v>620</v>
      </c>
      <c r="F21" t="s">
        <v>627</v>
      </c>
      <c r="G21" t="s">
        <v>633</v>
      </c>
      <c r="H21">
        <v>5</v>
      </c>
      <c r="I21" s="35">
        <v>476634</v>
      </c>
      <c r="J21" s="35">
        <v>2383170</v>
      </c>
      <c r="K21" s="35">
        <v>1862434.7685149871</v>
      </c>
      <c r="L21" s="35">
        <v>247164.13191550341</v>
      </c>
      <c r="M21" s="35">
        <v>2136005.8680844959</v>
      </c>
      <c r="N21" s="35">
        <v>273571.09956950881</v>
      </c>
    </row>
    <row r="22" spans="1:14" x14ac:dyDescent="0.25">
      <c r="A22" t="s">
        <v>33</v>
      </c>
      <c r="B22" s="2">
        <v>45270</v>
      </c>
      <c r="C22" t="s">
        <v>616</v>
      </c>
      <c r="D22" t="s">
        <v>618</v>
      </c>
      <c r="E22" t="s">
        <v>621</v>
      </c>
      <c r="F22" t="s">
        <v>625</v>
      </c>
      <c r="G22" t="s">
        <v>631</v>
      </c>
      <c r="H22">
        <v>8</v>
      </c>
      <c r="I22" s="35">
        <v>317885</v>
      </c>
      <c r="J22" s="35">
        <v>2543080</v>
      </c>
      <c r="K22" s="35">
        <v>1896176.57083889</v>
      </c>
      <c r="L22" s="35">
        <v>125041.9428112233</v>
      </c>
      <c r="M22" s="35">
        <v>2418038.0571887768</v>
      </c>
      <c r="N22" s="35">
        <v>521861.48634988675</v>
      </c>
    </row>
    <row r="23" spans="1:14" x14ac:dyDescent="0.25">
      <c r="A23" t="s">
        <v>34</v>
      </c>
      <c r="B23" s="2">
        <v>45418</v>
      </c>
      <c r="C23" t="s">
        <v>614</v>
      </c>
      <c r="D23" t="s">
        <v>618</v>
      </c>
      <c r="E23" t="s">
        <v>621</v>
      </c>
      <c r="F23" t="s">
        <v>628</v>
      </c>
      <c r="G23" t="s">
        <v>632</v>
      </c>
      <c r="H23">
        <v>4</v>
      </c>
      <c r="I23" s="35">
        <v>161585</v>
      </c>
      <c r="J23" s="35">
        <v>646340</v>
      </c>
      <c r="K23" s="35">
        <v>513885.64847741241</v>
      </c>
      <c r="L23" s="35">
        <v>46296.004876289437</v>
      </c>
      <c r="M23" s="35">
        <v>600043.9951237106</v>
      </c>
      <c r="N23" s="35">
        <v>86158.346646298189</v>
      </c>
    </row>
    <row r="24" spans="1:14" x14ac:dyDescent="0.25">
      <c r="A24" t="s">
        <v>35</v>
      </c>
      <c r="B24" s="2">
        <v>45340</v>
      </c>
      <c r="C24" t="s">
        <v>614</v>
      </c>
      <c r="D24" t="s">
        <v>619</v>
      </c>
      <c r="E24" t="s">
        <v>624</v>
      </c>
      <c r="F24" t="s">
        <v>625</v>
      </c>
      <c r="G24" t="s">
        <v>632</v>
      </c>
      <c r="H24">
        <v>7</v>
      </c>
      <c r="I24" s="35">
        <v>434708</v>
      </c>
      <c r="J24" s="35">
        <v>3042956</v>
      </c>
      <c r="K24" s="35">
        <v>1758528.0812227591</v>
      </c>
      <c r="L24" s="35">
        <v>602204.2382507649</v>
      </c>
      <c r="M24" s="35">
        <v>2440751.761749235</v>
      </c>
      <c r="N24" s="35">
        <v>682223.68052647589</v>
      </c>
    </row>
    <row r="25" spans="1:14" x14ac:dyDescent="0.25">
      <c r="A25" t="s">
        <v>36</v>
      </c>
      <c r="B25" s="2">
        <v>45312</v>
      </c>
      <c r="C25" t="s">
        <v>614</v>
      </c>
      <c r="D25" t="s">
        <v>618</v>
      </c>
      <c r="E25" t="s">
        <v>623</v>
      </c>
      <c r="F25" t="s">
        <v>625</v>
      </c>
      <c r="G25" t="s">
        <v>632</v>
      </c>
      <c r="H25">
        <v>5</v>
      </c>
      <c r="I25" s="35">
        <v>118798</v>
      </c>
      <c r="J25" s="35">
        <v>593990</v>
      </c>
      <c r="K25" s="35">
        <v>469796.84219370107</v>
      </c>
      <c r="L25" s="35">
        <v>81295.164143833113</v>
      </c>
      <c r="M25" s="35">
        <v>512694.8358561669</v>
      </c>
      <c r="N25" s="35">
        <v>42897.993662465829</v>
      </c>
    </row>
    <row r="26" spans="1:14" x14ac:dyDescent="0.25">
      <c r="A26" t="s">
        <v>37</v>
      </c>
      <c r="B26" s="2">
        <v>45118</v>
      </c>
      <c r="C26" t="s">
        <v>617</v>
      </c>
      <c r="D26" t="s">
        <v>619</v>
      </c>
      <c r="E26" t="s">
        <v>622</v>
      </c>
      <c r="F26" t="s">
        <v>625</v>
      </c>
      <c r="G26" t="s">
        <v>632</v>
      </c>
      <c r="H26">
        <v>5</v>
      </c>
      <c r="I26" s="35">
        <v>428170</v>
      </c>
      <c r="J26" s="35">
        <v>2140850</v>
      </c>
      <c r="K26" s="35">
        <v>1347387.109042977</v>
      </c>
      <c r="L26" s="35">
        <v>406325.05220951448</v>
      </c>
      <c r="M26" s="35">
        <v>1734524.9477904851</v>
      </c>
      <c r="N26" s="35">
        <v>387137.83874750813</v>
      </c>
    </row>
    <row r="27" spans="1:14" x14ac:dyDescent="0.25">
      <c r="A27" t="s">
        <v>38</v>
      </c>
      <c r="B27" s="2">
        <v>45203</v>
      </c>
      <c r="C27" t="s">
        <v>616</v>
      </c>
      <c r="D27" t="s">
        <v>619</v>
      </c>
      <c r="E27" t="s">
        <v>623</v>
      </c>
      <c r="F27" t="s">
        <v>628</v>
      </c>
      <c r="G27" t="s">
        <v>633</v>
      </c>
      <c r="H27">
        <v>9</v>
      </c>
      <c r="I27" s="35">
        <v>251604</v>
      </c>
      <c r="J27" s="35">
        <v>2264436</v>
      </c>
      <c r="K27" s="35">
        <v>1368298.2212355291</v>
      </c>
      <c r="L27" s="35">
        <v>64562.03905059363</v>
      </c>
      <c r="M27" s="35">
        <v>2199873.960949406</v>
      </c>
      <c r="N27" s="35">
        <v>831575.73971387697</v>
      </c>
    </row>
    <row r="28" spans="1:14" x14ac:dyDescent="0.25">
      <c r="A28" t="s">
        <v>39</v>
      </c>
      <c r="B28" s="2">
        <v>45087</v>
      </c>
      <c r="C28" t="s">
        <v>614</v>
      </c>
      <c r="D28" t="s">
        <v>618</v>
      </c>
      <c r="E28" t="s">
        <v>620</v>
      </c>
      <c r="F28" t="s">
        <v>626</v>
      </c>
      <c r="G28" t="s">
        <v>632</v>
      </c>
      <c r="H28">
        <v>9</v>
      </c>
      <c r="I28" s="35">
        <v>160130</v>
      </c>
      <c r="J28" s="35">
        <v>1441170</v>
      </c>
      <c r="K28" s="35">
        <v>742353.66833472683</v>
      </c>
      <c r="L28" s="35">
        <v>110145.5893888908</v>
      </c>
      <c r="M28" s="35">
        <v>1331024.4106111091</v>
      </c>
      <c r="N28" s="35">
        <v>588670.74227638228</v>
      </c>
    </row>
    <row r="29" spans="1:14" x14ac:dyDescent="0.25">
      <c r="A29" t="s">
        <v>40</v>
      </c>
      <c r="B29" s="2">
        <v>45386</v>
      </c>
      <c r="C29" t="s">
        <v>617</v>
      </c>
      <c r="D29" t="s">
        <v>619</v>
      </c>
      <c r="E29" t="s">
        <v>621</v>
      </c>
      <c r="F29" t="s">
        <v>625</v>
      </c>
      <c r="G29" t="s">
        <v>631</v>
      </c>
      <c r="H29">
        <v>9</v>
      </c>
      <c r="I29" s="35">
        <v>334308</v>
      </c>
      <c r="J29" s="35">
        <v>3008772</v>
      </c>
      <c r="K29" s="35">
        <v>1552013.589126226</v>
      </c>
      <c r="L29" s="35">
        <v>333812.30344509112</v>
      </c>
      <c r="M29" s="35">
        <v>2674959.696554909</v>
      </c>
      <c r="N29" s="35">
        <v>1122946.107428683</v>
      </c>
    </row>
    <row r="30" spans="1:14" x14ac:dyDescent="0.25">
      <c r="A30" t="s">
        <v>41</v>
      </c>
      <c r="B30" s="2">
        <v>45240</v>
      </c>
      <c r="C30" t="s">
        <v>613</v>
      </c>
      <c r="D30" t="s">
        <v>618</v>
      </c>
      <c r="E30" t="s">
        <v>624</v>
      </c>
      <c r="F30" t="s">
        <v>630</v>
      </c>
      <c r="G30" t="s">
        <v>633</v>
      </c>
      <c r="H30">
        <v>6</v>
      </c>
      <c r="I30" s="35">
        <v>216667</v>
      </c>
      <c r="J30" s="35">
        <v>1300002</v>
      </c>
      <c r="K30" s="35">
        <v>919885.80502594891</v>
      </c>
      <c r="L30" s="35">
        <v>19957.126794296641</v>
      </c>
      <c r="M30" s="35">
        <v>1280044.873205703</v>
      </c>
      <c r="N30" s="35">
        <v>360159.06817975407</v>
      </c>
    </row>
    <row r="31" spans="1:14" x14ac:dyDescent="0.25">
      <c r="A31" t="s">
        <v>42</v>
      </c>
      <c r="B31" s="2">
        <v>44948</v>
      </c>
      <c r="C31" t="s">
        <v>613</v>
      </c>
      <c r="D31" t="s">
        <v>618</v>
      </c>
      <c r="E31" t="s">
        <v>624</v>
      </c>
      <c r="F31" t="s">
        <v>628</v>
      </c>
      <c r="G31" t="s">
        <v>632</v>
      </c>
      <c r="H31">
        <v>6</v>
      </c>
      <c r="I31" s="35">
        <v>80257</v>
      </c>
      <c r="J31" s="35">
        <v>481542</v>
      </c>
      <c r="K31" s="35">
        <v>306924.6131513252</v>
      </c>
      <c r="L31" s="35">
        <v>403.2859958988173</v>
      </c>
      <c r="M31" s="35">
        <v>481138.71400410117</v>
      </c>
      <c r="N31" s="35">
        <v>174214.10085277597</v>
      </c>
    </row>
    <row r="32" spans="1:14" x14ac:dyDescent="0.25">
      <c r="A32" t="s">
        <v>43</v>
      </c>
      <c r="B32" s="2">
        <v>45179</v>
      </c>
      <c r="C32" t="s">
        <v>617</v>
      </c>
      <c r="D32" t="s">
        <v>619</v>
      </c>
      <c r="E32" t="s">
        <v>622</v>
      </c>
      <c r="F32" t="s">
        <v>625</v>
      </c>
      <c r="G32" t="s">
        <v>633</v>
      </c>
      <c r="H32">
        <v>5</v>
      </c>
      <c r="I32" s="35">
        <v>457427</v>
      </c>
      <c r="J32" s="35">
        <v>2287135</v>
      </c>
      <c r="K32" s="35">
        <v>1298993.161749227</v>
      </c>
      <c r="L32" s="35">
        <v>306674.76600572257</v>
      </c>
      <c r="M32" s="35">
        <v>1980460.233994277</v>
      </c>
      <c r="N32" s="35">
        <v>681467.07224504999</v>
      </c>
    </row>
    <row r="33" spans="1:14" x14ac:dyDescent="0.25">
      <c r="A33" t="s">
        <v>44</v>
      </c>
      <c r="B33" s="2">
        <v>45487</v>
      </c>
      <c r="C33" t="s">
        <v>617</v>
      </c>
      <c r="D33" t="s">
        <v>619</v>
      </c>
      <c r="E33" t="s">
        <v>623</v>
      </c>
      <c r="F33" t="s">
        <v>626</v>
      </c>
      <c r="G33" t="s">
        <v>631</v>
      </c>
      <c r="H33">
        <v>9</v>
      </c>
      <c r="I33" s="35">
        <v>408133</v>
      </c>
      <c r="J33" s="35">
        <v>3673197</v>
      </c>
      <c r="K33" s="35">
        <v>2513168.666184878</v>
      </c>
      <c r="L33" s="35">
        <v>471505.90473129641</v>
      </c>
      <c r="M33" s="35">
        <v>3201691.095268704</v>
      </c>
      <c r="N33" s="35">
        <v>688522.42908382602</v>
      </c>
    </row>
    <row r="34" spans="1:14" x14ac:dyDescent="0.25">
      <c r="A34" t="s">
        <v>45</v>
      </c>
      <c r="B34" s="2">
        <v>45401</v>
      </c>
      <c r="C34" t="s">
        <v>616</v>
      </c>
      <c r="D34" t="s">
        <v>619</v>
      </c>
      <c r="E34" t="s">
        <v>622</v>
      </c>
      <c r="F34" t="s">
        <v>628</v>
      </c>
      <c r="G34" t="s">
        <v>632</v>
      </c>
      <c r="H34">
        <v>8</v>
      </c>
      <c r="I34" s="35">
        <v>448448</v>
      </c>
      <c r="J34" s="35">
        <v>3587584</v>
      </c>
      <c r="K34" s="35">
        <v>2065936.921791262</v>
      </c>
      <c r="L34" s="35">
        <v>294747.87242672947</v>
      </c>
      <c r="M34" s="35">
        <v>3292836.1275732699</v>
      </c>
      <c r="N34" s="35">
        <v>1226899.2057820079</v>
      </c>
    </row>
    <row r="35" spans="1:14" x14ac:dyDescent="0.25">
      <c r="A35" t="s">
        <v>46</v>
      </c>
      <c r="B35" s="2">
        <v>44985</v>
      </c>
      <c r="C35" t="s">
        <v>616</v>
      </c>
      <c r="D35" t="s">
        <v>619</v>
      </c>
      <c r="E35" t="s">
        <v>621</v>
      </c>
      <c r="F35" t="s">
        <v>629</v>
      </c>
      <c r="G35" t="s">
        <v>631</v>
      </c>
      <c r="H35">
        <v>7</v>
      </c>
      <c r="I35" s="35">
        <v>102691</v>
      </c>
      <c r="J35" s="35">
        <v>718837</v>
      </c>
      <c r="K35" s="35">
        <v>483985.42321930447</v>
      </c>
      <c r="L35" s="35">
        <v>70394.85573652765</v>
      </c>
      <c r="M35" s="35">
        <v>648442.14426347241</v>
      </c>
      <c r="N35" s="35">
        <v>164456.72104416793</v>
      </c>
    </row>
    <row r="36" spans="1:14" x14ac:dyDescent="0.25">
      <c r="A36" t="s">
        <v>47</v>
      </c>
      <c r="B36" s="2">
        <v>45437</v>
      </c>
      <c r="C36" t="s">
        <v>613</v>
      </c>
      <c r="D36" t="s">
        <v>618</v>
      </c>
      <c r="E36" t="s">
        <v>622</v>
      </c>
      <c r="F36" t="s">
        <v>626</v>
      </c>
      <c r="G36" t="s">
        <v>632</v>
      </c>
      <c r="H36">
        <v>7</v>
      </c>
      <c r="I36" s="35">
        <v>129768</v>
      </c>
      <c r="J36" s="35">
        <v>908376</v>
      </c>
      <c r="K36" s="35">
        <v>552076.98142474447</v>
      </c>
      <c r="L36" s="35">
        <v>75475.690221167999</v>
      </c>
      <c r="M36" s="35">
        <v>832900.30977883202</v>
      </c>
      <c r="N36" s="35">
        <v>280823.32835408754</v>
      </c>
    </row>
    <row r="37" spans="1:14" x14ac:dyDescent="0.25">
      <c r="A37" t="s">
        <v>48</v>
      </c>
      <c r="B37" s="2">
        <v>45608</v>
      </c>
      <c r="C37" t="s">
        <v>614</v>
      </c>
      <c r="D37" t="s">
        <v>618</v>
      </c>
      <c r="E37" t="s">
        <v>624</v>
      </c>
      <c r="F37" t="s">
        <v>630</v>
      </c>
      <c r="G37" t="s">
        <v>632</v>
      </c>
      <c r="H37">
        <v>6</v>
      </c>
      <c r="I37" s="35">
        <v>468829</v>
      </c>
      <c r="J37" s="35">
        <v>2812974</v>
      </c>
      <c r="K37" s="35">
        <v>2101476.3003303469</v>
      </c>
      <c r="L37" s="35">
        <v>13505.11340350128</v>
      </c>
      <c r="M37" s="35">
        <v>2799468.886596499</v>
      </c>
      <c r="N37" s="35">
        <v>697992.5862661521</v>
      </c>
    </row>
    <row r="38" spans="1:14" x14ac:dyDescent="0.25">
      <c r="A38" t="s">
        <v>49</v>
      </c>
      <c r="B38" s="2">
        <v>45402</v>
      </c>
      <c r="C38" t="s">
        <v>613</v>
      </c>
      <c r="D38" t="s">
        <v>619</v>
      </c>
      <c r="E38" t="s">
        <v>624</v>
      </c>
      <c r="F38" t="s">
        <v>625</v>
      </c>
      <c r="G38" t="s">
        <v>632</v>
      </c>
      <c r="H38">
        <v>5</v>
      </c>
      <c r="I38" s="35">
        <v>64026</v>
      </c>
      <c r="J38" s="35">
        <v>320130</v>
      </c>
      <c r="K38" s="35">
        <v>238883.83858388069</v>
      </c>
      <c r="L38" s="35">
        <v>21472.50245967925</v>
      </c>
      <c r="M38" s="35">
        <v>298657.49754032068</v>
      </c>
      <c r="N38" s="35">
        <v>59773.658956439991</v>
      </c>
    </row>
    <row r="39" spans="1:14" x14ac:dyDescent="0.25">
      <c r="A39" t="s">
        <v>50</v>
      </c>
      <c r="B39" s="2">
        <v>45626</v>
      </c>
      <c r="C39" t="s">
        <v>614</v>
      </c>
      <c r="D39" t="s">
        <v>618</v>
      </c>
      <c r="E39" t="s">
        <v>620</v>
      </c>
      <c r="F39" t="s">
        <v>629</v>
      </c>
      <c r="G39" t="s">
        <v>632</v>
      </c>
      <c r="H39">
        <v>4</v>
      </c>
      <c r="I39" s="35">
        <v>496751</v>
      </c>
      <c r="J39" s="35">
        <v>1987004</v>
      </c>
      <c r="K39" s="35">
        <v>1278051.1451412409</v>
      </c>
      <c r="L39" s="35">
        <v>70372.629960687307</v>
      </c>
      <c r="M39" s="35">
        <v>1916631.3700393131</v>
      </c>
      <c r="N39" s="35">
        <v>638580.22489807219</v>
      </c>
    </row>
    <row r="40" spans="1:14" x14ac:dyDescent="0.25">
      <c r="A40" t="s">
        <v>51</v>
      </c>
      <c r="B40" s="2">
        <v>45116</v>
      </c>
      <c r="C40" t="s">
        <v>614</v>
      </c>
      <c r="D40" t="s">
        <v>618</v>
      </c>
      <c r="E40" t="s">
        <v>620</v>
      </c>
      <c r="F40" t="s">
        <v>629</v>
      </c>
      <c r="G40" t="s">
        <v>632</v>
      </c>
      <c r="H40">
        <v>3</v>
      </c>
      <c r="I40" s="35">
        <v>275162</v>
      </c>
      <c r="J40" s="35">
        <v>825486</v>
      </c>
      <c r="K40" s="35">
        <v>499621.87898655748</v>
      </c>
      <c r="L40" s="35">
        <v>16249.5580329065</v>
      </c>
      <c r="M40" s="35">
        <v>809236.4419670935</v>
      </c>
      <c r="N40" s="35">
        <v>309614.56298053602</v>
      </c>
    </row>
    <row r="41" spans="1:14" x14ac:dyDescent="0.25">
      <c r="A41" t="s">
        <v>52</v>
      </c>
      <c r="B41" s="2">
        <v>45613</v>
      </c>
      <c r="C41" t="s">
        <v>616</v>
      </c>
      <c r="D41" t="s">
        <v>618</v>
      </c>
      <c r="E41" t="s">
        <v>621</v>
      </c>
      <c r="F41" t="s">
        <v>628</v>
      </c>
      <c r="G41" t="s">
        <v>633</v>
      </c>
      <c r="H41">
        <v>3</v>
      </c>
      <c r="I41" s="35">
        <v>343052</v>
      </c>
      <c r="J41" s="35">
        <v>1029156</v>
      </c>
      <c r="K41" s="35">
        <v>626517.17699627148</v>
      </c>
      <c r="L41" s="35">
        <v>196922.91497196551</v>
      </c>
      <c r="M41" s="35">
        <v>832233.0850280344</v>
      </c>
      <c r="N41" s="35">
        <v>205715.90803176293</v>
      </c>
    </row>
    <row r="42" spans="1:14" x14ac:dyDescent="0.25">
      <c r="A42" t="s">
        <v>53</v>
      </c>
      <c r="B42" s="2">
        <v>45489</v>
      </c>
      <c r="C42" t="s">
        <v>615</v>
      </c>
      <c r="D42" t="s">
        <v>618</v>
      </c>
      <c r="E42" t="s">
        <v>623</v>
      </c>
      <c r="F42" t="s">
        <v>629</v>
      </c>
      <c r="G42" t="s">
        <v>632</v>
      </c>
      <c r="H42">
        <v>6</v>
      </c>
      <c r="I42" s="35">
        <v>495329</v>
      </c>
      <c r="J42" s="35">
        <v>2971974</v>
      </c>
      <c r="K42" s="35">
        <v>2204355.7865124829</v>
      </c>
      <c r="L42" s="35">
        <v>356256.30389449297</v>
      </c>
      <c r="M42" s="35">
        <v>2615717.6961055072</v>
      </c>
      <c r="N42" s="35">
        <v>411361.90959302429</v>
      </c>
    </row>
    <row r="43" spans="1:14" x14ac:dyDescent="0.25">
      <c r="A43" t="s">
        <v>54</v>
      </c>
      <c r="B43" s="2">
        <v>45493</v>
      </c>
      <c r="C43" t="s">
        <v>615</v>
      </c>
      <c r="D43" t="s">
        <v>619</v>
      </c>
      <c r="E43" t="s">
        <v>622</v>
      </c>
      <c r="F43" t="s">
        <v>630</v>
      </c>
      <c r="G43" t="s">
        <v>632</v>
      </c>
      <c r="H43">
        <v>4</v>
      </c>
      <c r="I43" s="35">
        <v>69610</v>
      </c>
      <c r="J43" s="35">
        <v>278440</v>
      </c>
      <c r="K43" s="35">
        <v>166633.48855705021</v>
      </c>
      <c r="L43" s="35">
        <v>40577.411156567927</v>
      </c>
      <c r="M43" s="35">
        <v>237862.58884343211</v>
      </c>
      <c r="N43" s="35">
        <v>71229.100286381901</v>
      </c>
    </row>
    <row r="44" spans="1:14" x14ac:dyDescent="0.25">
      <c r="A44" t="s">
        <v>55</v>
      </c>
      <c r="B44" s="2">
        <v>45170</v>
      </c>
      <c r="C44" t="s">
        <v>617</v>
      </c>
      <c r="D44" t="s">
        <v>619</v>
      </c>
      <c r="E44" t="s">
        <v>621</v>
      </c>
      <c r="F44" t="s">
        <v>630</v>
      </c>
      <c r="G44" t="s">
        <v>633</v>
      </c>
      <c r="H44">
        <v>6</v>
      </c>
      <c r="I44" s="35">
        <v>227718</v>
      </c>
      <c r="J44" s="35">
        <v>1366308</v>
      </c>
      <c r="K44" s="35">
        <v>768845.84843119606</v>
      </c>
      <c r="L44" s="35">
        <v>86176.801066888496</v>
      </c>
      <c r="M44" s="35">
        <v>1280131.198933112</v>
      </c>
      <c r="N44" s="35">
        <v>511285.35050191591</v>
      </c>
    </row>
    <row r="45" spans="1:14" x14ac:dyDescent="0.25">
      <c r="A45" t="s">
        <v>56</v>
      </c>
      <c r="B45" s="2">
        <v>45431</v>
      </c>
      <c r="C45" t="s">
        <v>616</v>
      </c>
      <c r="D45" t="s">
        <v>618</v>
      </c>
      <c r="E45" t="s">
        <v>620</v>
      </c>
      <c r="F45" t="s">
        <v>627</v>
      </c>
      <c r="G45" t="s">
        <v>633</v>
      </c>
      <c r="H45">
        <v>3</v>
      </c>
      <c r="I45" s="35">
        <v>375329</v>
      </c>
      <c r="J45" s="35">
        <v>1125987</v>
      </c>
      <c r="K45" s="35">
        <v>591600.89160094527</v>
      </c>
      <c r="L45" s="35">
        <v>88535.711379515546</v>
      </c>
      <c r="M45" s="35">
        <v>1037451.2886204839</v>
      </c>
      <c r="N45" s="35">
        <v>445850.39701953868</v>
      </c>
    </row>
    <row r="46" spans="1:14" x14ac:dyDescent="0.25">
      <c r="A46" t="s">
        <v>57</v>
      </c>
      <c r="B46" s="2">
        <v>45057</v>
      </c>
      <c r="C46" t="s">
        <v>614</v>
      </c>
      <c r="D46" t="s">
        <v>619</v>
      </c>
      <c r="E46" t="s">
        <v>622</v>
      </c>
      <c r="F46" t="s">
        <v>630</v>
      </c>
      <c r="G46" t="s">
        <v>633</v>
      </c>
      <c r="H46">
        <v>4</v>
      </c>
      <c r="I46" s="35">
        <v>384711</v>
      </c>
      <c r="J46" s="35">
        <v>1538844</v>
      </c>
      <c r="K46" s="35">
        <v>984872.37267427414</v>
      </c>
      <c r="L46" s="35">
        <v>72917.813292801919</v>
      </c>
      <c r="M46" s="35">
        <v>1465926.1867071979</v>
      </c>
      <c r="N46" s="35">
        <v>481053.81403292378</v>
      </c>
    </row>
    <row r="47" spans="1:14" x14ac:dyDescent="0.25">
      <c r="A47" t="s">
        <v>58</v>
      </c>
      <c r="B47" s="2">
        <v>45411</v>
      </c>
      <c r="C47" t="s">
        <v>615</v>
      </c>
      <c r="D47" t="s">
        <v>619</v>
      </c>
      <c r="E47" t="s">
        <v>620</v>
      </c>
      <c r="F47" t="s">
        <v>626</v>
      </c>
      <c r="G47" t="s">
        <v>633</v>
      </c>
      <c r="H47">
        <v>9</v>
      </c>
      <c r="I47" s="35">
        <v>228646</v>
      </c>
      <c r="J47" s="35">
        <v>2057814</v>
      </c>
      <c r="K47" s="35">
        <v>1326548.4549019909</v>
      </c>
      <c r="L47" s="35">
        <v>39907.463046408913</v>
      </c>
      <c r="M47" s="35">
        <v>2017906.536953591</v>
      </c>
      <c r="N47" s="35">
        <v>691358.0820516001</v>
      </c>
    </row>
    <row r="48" spans="1:14" x14ac:dyDescent="0.25">
      <c r="A48" t="s">
        <v>59</v>
      </c>
      <c r="B48" s="2">
        <v>45573</v>
      </c>
      <c r="C48" t="s">
        <v>614</v>
      </c>
      <c r="D48" t="s">
        <v>619</v>
      </c>
      <c r="E48" t="s">
        <v>622</v>
      </c>
      <c r="F48" t="s">
        <v>629</v>
      </c>
      <c r="G48" t="s">
        <v>633</v>
      </c>
      <c r="H48">
        <v>5</v>
      </c>
      <c r="I48" s="35">
        <v>272123</v>
      </c>
      <c r="J48" s="35">
        <v>1360615</v>
      </c>
      <c r="K48" s="35">
        <v>1023553.401501455</v>
      </c>
      <c r="L48" s="35">
        <v>48718.626275516108</v>
      </c>
      <c r="M48" s="35">
        <v>1311896.3737244839</v>
      </c>
      <c r="N48" s="35">
        <v>288342.97222302889</v>
      </c>
    </row>
    <row r="49" spans="1:14" x14ac:dyDescent="0.25">
      <c r="A49" t="s">
        <v>60</v>
      </c>
      <c r="B49" s="2">
        <v>44947</v>
      </c>
      <c r="C49" t="s">
        <v>615</v>
      </c>
      <c r="D49" t="s">
        <v>618</v>
      </c>
      <c r="E49" t="s">
        <v>623</v>
      </c>
      <c r="F49" t="s">
        <v>630</v>
      </c>
      <c r="G49" t="s">
        <v>633</v>
      </c>
      <c r="H49">
        <v>7</v>
      </c>
      <c r="I49" s="35">
        <v>348326</v>
      </c>
      <c r="J49" s="35">
        <v>2438282</v>
      </c>
      <c r="K49" s="35">
        <v>1380973.699374371</v>
      </c>
      <c r="L49" s="35">
        <v>388912.82827872131</v>
      </c>
      <c r="M49" s="35">
        <v>2049369.1717212789</v>
      </c>
      <c r="N49" s="35">
        <v>668395.47234690795</v>
      </c>
    </row>
    <row r="50" spans="1:14" x14ac:dyDescent="0.25">
      <c r="A50" t="s">
        <v>61</v>
      </c>
      <c r="B50" s="2">
        <v>45093</v>
      </c>
      <c r="C50" t="s">
        <v>615</v>
      </c>
      <c r="D50" t="s">
        <v>618</v>
      </c>
      <c r="E50" t="s">
        <v>621</v>
      </c>
      <c r="F50" t="s">
        <v>628</v>
      </c>
      <c r="G50" t="s">
        <v>632</v>
      </c>
      <c r="H50">
        <v>2</v>
      </c>
      <c r="I50" s="35">
        <v>428280</v>
      </c>
      <c r="J50" s="35">
        <v>856560</v>
      </c>
      <c r="K50" s="35">
        <v>526182.56561202137</v>
      </c>
      <c r="L50" s="35">
        <v>116071.726977643</v>
      </c>
      <c r="M50" s="35">
        <v>740488.27302235703</v>
      </c>
      <c r="N50" s="35">
        <v>214305.70741033566</v>
      </c>
    </row>
    <row r="51" spans="1:14" x14ac:dyDescent="0.25">
      <c r="A51" t="s">
        <v>62</v>
      </c>
      <c r="B51" s="2">
        <v>45200</v>
      </c>
      <c r="C51" t="s">
        <v>615</v>
      </c>
      <c r="D51" t="s">
        <v>618</v>
      </c>
      <c r="E51" t="s">
        <v>622</v>
      </c>
      <c r="F51" t="s">
        <v>627</v>
      </c>
      <c r="G51" t="s">
        <v>632</v>
      </c>
      <c r="H51">
        <v>5</v>
      </c>
      <c r="I51" s="35">
        <v>443786</v>
      </c>
      <c r="J51" s="35">
        <v>2218930</v>
      </c>
      <c r="K51" s="35">
        <v>1647603.7238610131</v>
      </c>
      <c r="L51" s="35">
        <v>242719.3781580909</v>
      </c>
      <c r="M51" s="35">
        <v>1976210.6218419089</v>
      </c>
      <c r="N51" s="35">
        <v>328606.89798089582</v>
      </c>
    </row>
    <row r="52" spans="1:14" x14ac:dyDescent="0.25">
      <c r="A52" t="s">
        <v>63</v>
      </c>
      <c r="B52" s="2">
        <v>45314</v>
      </c>
      <c r="C52" t="s">
        <v>616</v>
      </c>
      <c r="D52" t="s">
        <v>619</v>
      </c>
      <c r="E52" t="s">
        <v>624</v>
      </c>
      <c r="F52" t="s">
        <v>629</v>
      </c>
      <c r="G52" t="s">
        <v>631</v>
      </c>
      <c r="H52">
        <v>9</v>
      </c>
      <c r="I52" s="35">
        <v>69288</v>
      </c>
      <c r="J52" s="35">
        <v>623592</v>
      </c>
      <c r="K52" s="35">
        <v>465877.52840225218</v>
      </c>
      <c r="L52" s="35">
        <v>59252.448800146733</v>
      </c>
      <c r="M52" s="35">
        <v>564339.5511998533</v>
      </c>
      <c r="N52" s="35">
        <v>98462.022797601123</v>
      </c>
    </row>
    <row r="53" spans="1:14" x14ac:dyDescent="0.25">
      <c r="A53" t="s">
        <v>64</v>
      </c>
      <c r="B53" s="2">
        <v>45527</v>
      </c>
      <c r="C53" t="s">
        <v>613</v>
      </c>
      <c r="D53" t="s">
        <v>618</v>
      </c>
      <c r="E53" t="s">
        <v>624</v>
      </c>
      <c r="F53" t="s">
        <v>627</v>
      </c>
      <c r="G53" t="s">
        <v>632</v>
      </c>
      <c r="H53">
        <v>3</v>
      </c>
      <c r="I53" s="35">
        <v>390968</v>
      </c>
      <c r="J53" s="35">
        <v>1172904</v>
      </c>
      <c r="K53" s="35">
        <v>721785.56083794043</v>
      </c>
      <c r="L53" s="35">
        <v>216385.3722074806</v>
      </c>
      <c r="M53" s="35">
        <v>956518.6277925194</v>
      </c>
      <c r="N53" s="35">
        <v>234733.06695457897</v>
      </c>
    </row>
    <row r="54" spans="1:14" x14ac:dyDescent="0.25">
      <c r="A54" t="s">
        <v>65</v>
      </c>
      <c r="B54" s="2">
        <v>45242</v>
      </c>
      <c r="C54" t="s">
        <v>614</v>
      </c>
      <c r="D54" t="s">
        <v>618</v>
      </c>
      <c r="E54" t="s">
        <v>622</v>
      </c>
      <c r="F54" t="s">
        <v>629</v>
      </c>
      <c r="G54" t="s">
        <v>632</v>
      </c>
      <c r="H54">
        <v>9</v>
      </c>
      <c r="I54" s="35">
        <v>473093</v>
      </c>
      <c r="J54" s="35">
        <v>4257837</v>
      </c>
      <c r="K54" s="35">
        <v>2715381.0761816679</v>
      </c>
      <c r="L54" s="35">
        <v>61938.710369016429</v>
      </c>
      <c r="M54" s="35">
        <v>4195898.289630984</v>
      </c>
      <c r="N54" s="35">
        <v>1480517.2134493161</v>
      </c>
    </row>
    <row r="55" spans="1:14" x14ac:dyDescent="0.25">
      <c r="A55" t="s">
        <v>66</v>
      </c>
      <c r="B55" s="2">
        <v>44940</v>
      </c>
      <c r="C55" t="s">
        <v>616</v>
      </c>
      <c r="D55" t="s">
        <v>619</v>
      </c>
      <c r="E55" t="s">
        <v>622</v>
      </c>
      <c r="F55" t="s">
        <v>628</v>
      </c>
      <c r="G55" t="s">
        <v>633</v>
      </c>
      <c r="H55">
        <v>6</v>
      </c>
      <c r="I55" s="35">
        <v>134425</v>
      </c>
      <c r="J55" s="35">
        <v>806550</v>
      </c>
      <c r="K55" s="35">
        <v>476659.57057934679</v>
      </c>
      <c r="L55" s="35">
        <v>45263.717183408233</v>
      </c>
      <c r="M55" s="35">
        <v>761286.28281659179</v>
      </c>
      <c r="N55" s="35">
        <v>284626.712237245</v>
      </c>
    </row>
    <row r="56" spans="1:14" x14ac:dyDescent="0.25">
      <c r="A56" t="s">
        <v>67</v>
      </c>
      <c r="B56" s="2">
        <v>45168</v>
      </c>
      <c r="C56" t="s">
        <v>616</v>
      </c>
      <c r="D56" t="s">
        <v>618</v>
      </c>
      <c r="E56" t="s">
        <v>622</v>
      </c>
      <c r="F56" t="s">
        <v>627</v>
      </c>
      <c r="G56" t="s">
        <v>633</v>
      </c>
      <c r="H56">
        <v>4</v>
      </c>
      <c r="I56" s="35">
        <v>50917</v>
      </c>
      <c r="J56" s="35">
        <v>203668</v>
      </c>
      <c r="K56" s="35">
        <v>158813.47609337131</v>
      </c>
      <c r="L56" s="35">
        <v>14254.22855220804</v>
      </c>
      <c r="M56" s="35">
        <v>189413.77144779201</v>
      </c>
      <c r="N56" s="35">
        <v>30600.295354420698</v>
      </c>
    </row>
    <row r="57" spans="1:14" x14ac:dyDescent="0.25">
      <c r="A57" t="s">
        <v>68</v>
      </c>
      <c r="B57" s="2">
        <v>45272</v>
      </c>
      <c r="C57" t="s">
        <v>616</v>
      </c>
      <c r="D57" t="s">
        <v>618</v>
      </c>
      <c r="E57" t="s">
        <v>624</v>
      </c>
      <c r="F57" t="s">
        <v>625</v>
      </c>
      <c r="G57" t="s">
        <v>632</v>
      </c>
      <c r="H57">
        <v>7</v>
      </c>
      <c r="I57" s="35">
        <v>387746</v>
      </c>
      <c r="J57" s="35">
        <v>2714222</v>
      </c>
      <c r="K57" s="35">
        <v>1453718.6557415931</v>
      </c>
      <c r="L57" s="35">
        <v>424735.47057516349</v>
      </c>
      <c r="M57" s="35">
        <v>2289486.5294248359</v>
      </c>
      <c r="N57" s="35">
        <v>835767.87368324283</v>
      </c>
    </row>
    <row r="58" spans="1:14" x14ac:dyDescent="0.25">
      <c r="A58" t="s">
        <v>69</v>
      </c>
      <c r="B58" s="2">
        <v>45491</v>
      </c>
      <c r="C58" t="s">
        <v>616</v>
      </c>
      <c r="D58" t="s">
        <v>619</v>
      </c>
      <c r="E58" t="s">
        <v>624</v>
      </c>
      <c r="F58" t="s">
        <v>626</v>
      </c>
      <c r="G58" t="s">
        <v>631</v>
      </c>
      <c r="H58">
        <v>8</v>
      </c>
      <c r="I58" s="35">
        <v>376719</v>
      </c>
      <c r="J58" s="35">
        <v>3013752</v>
      </c>
      <c r="K58" s="35">
        <v>2351102.7573208581</v>
      </c>
      <c r="L58" s="35">
        <v>598238.5843084763</v>
      </c>
      <c r="M58" s="35">
        <v>2415513.4156915238</v>
      </c>
      <c r="N58" s="35">
        <v>64410.65837066574</v>
      </c>
    </row>
    <row r="59" spans="1:14" x14ac:dyDescent="0.25">
      <c r="A59" t="s">
        <v>70</v>
      </c>
      <c r="B59" s="2">
        <v>45266</v>
      </c>
      <c r="C59" t="s">
        <v>616</v>
      </c>
      <c r="D59" t="s">
        <v>619</v>
      </c>
      <c r="E59" t="s">
        <v>622</v>
      </c>
      <c r="F59" t="s">
        <v>626</v>
      </c>
      <c r="G59" t="s">
        <v>633</v>
      </c>
      <c r="H59">
        <v>6</v>
      </c>
      <c r="I59" s="35">
        <v>384662</v>
      </c>
      <c r="J59" s="35">
        <v>2307972</v>
      </c>
      <c r="K59" s="35">
        <v>1627489.386772596</v>
      </c>
      <c r="L59" s="35">
        <v>111092.16185701919</v>
      </c>
      <c r="M59" s="35">
        <v>2196879.8381429808</v>
      </c>
      <c r="N59" s="35">
        <v>569390.45137038478</v>
      </c>
    </row>
    <row r="60" spans="1:14" x14ac:dyDescent="0.25">
      <c r="A60" t="s">
        <v>71</v>
      </c>
      <c r="B60" s="2">
        <v>45018</v>
      </c>
      <c r="C60" t="s">
        <v>617</v>
      </c>
      <c r="D60" t="s">
        <v>619</v>
      </c>
      <c r="E60" t="s">
        <v>620</v>
      </c>
      <c r="F60" t="s">
        <v>629</v>
      </c>
      <c r="G60" t="s">
        <v>632</v>
      </c>
      <c r="H60">
        <v>5</v>
      </c>
      <c r="I60" s="35">
        <v>303187</v>
      </c>
      <c r="J60" s="35">
        <v>1515935</v>
      </c>
      <c r="K60" s="35">
        <v>999716.14938494796</v>
      </c>
      <c r="L60" s="35">
        <v>265078.61771501909</v>
      </c>
      <c r="M60" s="35">
        <v>1250856.382284981</v>
      </c>
      <c r="N60" s="35">
        <v>251140.23290003301</v>
      </c>
    </row>
    <row r="61" spans="1:14" x14ac:dyDescent="0.25">
      <c r="A61" t="s">
        <v>72</v>
      </c>
      <c r="B61" s="2">
        <v>45293</v>
      </c>
      <c r="C61" t="s">
        <v>614</v>
      </c>
      <c r="D61" t="s">
        <v>618</v>
      </c>
      <c r="E61" t="s">
        <v>620</v>
      </c>
      <c r="F61" t="s">
        <v>625</v>
      </c>
      <c r="G61" t="s">
        <v>632</v>
      </c>
      <c r="H61">
        <v>6</v>
      </c>
      <c r="I61" s="35">
        <v>89104</v>
      </c>
      <c r="J61" s="35">
        <v>534624</v>
      </c>
      <c r="K61" s="35">
        <v>272550.0953138551</v>
      </c>
      <c r="L61" s="35">
        <v>88814.172534617202</v>
      </c>
      <c r="M61" s="35">
        <v>445809.82746538281</v>
      </c>
      <c r="N61" s="35">
        <v>173259.73215152771</v>
      </c>
    </row>
    <row r="62" spans="1:14" x14ac:dyDescent="0.25">
      <c r="A62" t="s">
        <v>73</v>
      </c>
      <c r="B62" s="2">
        <v>45381</v>
      </c>
      <c r="C62" t="s">
        <v>616</v>
      </c>
      <c r="D62" t="s">
        <v>618</v>
      </c>
      <c r="E62" t="s">
        <v>623</v>
      </c>
      <c r="F62" t="s">
        <v>627</v>
      </c>
      <c r="G62" t="s">
        <v>631</v>
      </c>
      <c r="H62">
        <v>5</v>
      </c>
      <c r="I62" s="35">
        <v>199134</v>
      </c>
      <c r="J62" s="35">
        <v>995670</v>
      </c>
      <c r="K62" s="35">
        <v>639896.0580934257</v>
      </c>
      <c r="L62" s="35">
        <v>44736.926221995564</v>
      </c>
      <c r="M62" s="35">
        <v>950933.07377800439</v>
      </c>
      <c r="N62" s="35">
        <v>311037.01568457868</v>
      </c>
    </row>
    <row r="63" spans="1:14" x14ac:dyDescent="0.25">
      <c r="A63" t="s">
        <v>74</v>
      </c>
      <c r="B63" s="2">
        <v>45354</v>
      </c>
      <c r="C63" t="s">
        <v>614</v>
      </c>
      <c r="D63" t="s">
        <v>618</v>
      </c>
      <c r="E63" t="s">
        <v>621</v>
      </c>
      <c r="F63" t="s">
        <v>625</v>
      </c>
      <c r="G63" t="s">
        <v>631</v>
      </c>
      <c r="H63">
        <v>8</v>
      </c>
      <c r="I63" s="35">
        <v>329143</v>
      </c>
      <c r="J63" s="35">
        <v>2633144</v>
      </c>
      <c r="K63" s="35">
        <v>1638669.8428597939</v>
      </c>
      <c r="L63" s="35">
        <v>210300.03751122029</v>
      </c>
      <c r="M63" s="35">
        <v>2422843.9624887798</v>
      </c>
      <c r="N63" s="35">
        <v>784174.11962898588</v>
      </c>
    </row>
    <row r="64" spans="1:14" x14ac:dyDescent="0.25">
      <c r="A64" t="s">
        <v>75</v>
      </c>
      <c r="B64" s="2">
        <v>45435</v>
      </c>
      <c r="C64" t="s">
        <v>617</v>
      </c>
      <c r="D64" t="s">
        <v>619</v>
      </c>
      <c r="E64" t="s">
        <v>620</v>
      </c>
      <c r="F64" t="s">
        <v>625</v>
      </c>
      <c r="G64" t="s">
        <v>633</v>
      </c>
      <c r="H64">
        <v>1</v>
      </c>
      <c r="I64" s="35">
        <v>312091</v>
      </c>
      <c r="J64" s="35">
        <v>312091</v>
      </c>
      <c r="K64" s="35">
        <v>171139.98207443839</v>
      </c>
      <c r="L64" s="35">
        <v>25571.043090074319</v>
      </c>
      <c r="M64" s="35">
        <v>286519.95690992568</v>
      </c>
      <c r="N64" s="35">
        <v>115379.97483548729</v>
      </c>
    </row>
    <row r="65" spans="1:14" x14ac:dyDescent="0.25">
      <c r="A65" t="s">
        <v>76</v>
      </c>
      <c r="B65" s="2">
        <v>44961</v>
      </c>
      <c r="C65" t="s">
        <v>617</v>
      </c>
      <c r="D65" t="s">
        <v>619</v>
      </c>
      <c r="E65" t="s">
        <v>624</v>
      </c>
      <c r="F65" t="s">
        <v>627</v>
      </c>
      <c r="G65" t="s">
        <v>631</v>
      </c>
      <c r="H65">
        <v>7</v>
      </c>
      <c r="I65" s="35">
        <v>453157</v>
      </c>
      <c r="J65" s="35">
        <v>3172099</v>
      </c>
      <c r="K65" s="35">
        <v>2210708.3740564492</v>
      </c>
      <c r="L65" s="35">
        <v>620602.56088248547</v>
      </c>
      <c r="M65" s="35">
        <v>2551496.439117515</v>
      </c>
      <c r="N65" s="35">
        <v>340788.06506106583</v>
      </c>
    </row>
    <row r="66" spans="1:14" x14ac:dyDescent="0.25">
      <c r="A66" t="s">
        <v>77</v>
      </c>
      <c r="B66" s="2">
        <v>45132</v>
      </c>
      <c r="C66" t="s">
        <v>614</v>
      </c>
      <c r="D66" t="s">
        <v>618</v>
      </c>
      <c r="E66" t="s">
        <v>620</v>
      </c>
      <c r="F66" t="s">
        <v>628</v>
      </c>
      <c r="G66" t="s">
        <v>632</v>
      </c>
      <c r="H66">
        <v>2</v>
      </c>
      <c r="I66" s="35">
        <v>111169</v>
      </c>
      <c r="J66" s="35">
        <v>222338</v>
      </c>
      <c r="K66" s="35">
        <v>175946.125132735</v>
      </c>
      <c r="L66" s="35">
        <v>8043.8287137562993</v>
      </c>
      <c r="M66" s="35">
        <v>214294.17128624371</v>
      </c>
      <c r="N66" s="35">
        <v>38348.046153508709</v>
      </c>
    </row>
    <row r="67" spans="1:14" x14ac:dyDescent="0.25">
      <c r="A67" t="s">
        <v>78</v>
      </c>
      <c r="B67" s="2">
        <v>45007</v>
      </c>
      <c r="C67" t="s">
        <v>615</v>
      </c>
      <c r="D67" t="s">
        <v>618</v>
      </c>
      <c r="E67" t="s">
        <v>623</v>
      </c>
      <c r="F67" t="s">
        <v>625</v>
      </c>
      <c r="G67" t="s">
        <v>632</v>
      </c>
      <c r="H67">
        <v>9</v>
      </c>
      <c r="I67" s="35">
        <v>204542</v>
      </c>
      <c r="J67" s="35">
        <v>1840878</v>
      </c>
      <c r="K67" s="35">
        <v>1230915.3042404519</v>
      </c>
      <c r="L67" s="35">
        <v>294230.46550628578</v>
      </c>
      <c r="M67" s="35">
        <v>1546647.5344937141</v>
      </c>
      <c r="N67" s="35">
        <v>315732.23025326221</v>
      </c>
    </row>
    <row r="68" spans="1:14" x14ac:dyDescent="0.25">
      <c r="A68" t="s">
        <v>79</v>
      </c>
      <c r="B68" s="2">
        <v>45488</v>
      </c>
      <c r="C68" t="s">
        <v>613</v>
      </c>
      <c r="D68" t="s">
        <v>619</v>
      </c>
      <c r="E68" t="s">
        <v>623</v>
      </c>
      <c r="F68" t="s">
        <v>625</v>
      </c>
      <c r="G68" t="s">
        <v>631</v>
      </c>
      <c r="H68">
        <v>1</v>
      </c>
      <c r="I68" s="35">
        <v>179744</v>
      </c>
      <c r="J68" s="35">
        <v>179744</v>
      </c>
      <c r="K68" s="35">
        <v>128413.7838763422</v>
      </c>
      <c r="L68" s="35">
        <v>12013.82704326629</v>
      </c>
      <c r="M68" s="35">
        <v>167730.1729567337</v>
      </c>
      <c r="N68" s="35">
        <v>39316.389080391498</v>
      </c>
    </row>
    <row r="69" spans="1:14" x14ac:dyDescent="0.25">
      <c r="A69" t="s">
        <v>80</v>
      </c>
      <c r="B69" s="2">
        <v>45314</v>
      </c>
      <c r="C69" t="s">
        <v>615</v>
      </c>
      <c r="D69" t="s">
        <v>619</v>
      </c>
      <c r="E69" t="s">
        <v>621</v>
      </c>
      <c r="F69" t="s">
        <v>628</v>
      </c>
      <c r="G69" t="s">
        <v>631</v>
      </c>
      <c r="H69">
        <v>6</v>
      </c>
      <c r="I69" s="35">
        <v>422828</v>
      </c>
      <c r="J69" s="35">
        <v>2536968</v>
      </c>
      <c r="K69" s="35">
        <v>1320580.982323651</v>
      </c>
      <c r="L69" s="35">
        <v>370838.93587661092</v>
      </c>
      <c r="M69" s="35">
        <v>2166129.0641233888</v>
      </c>
      <c r="N69" s="35">
        <v>845548.08179973788</v>
      </c>
    </row>
    <row r="70" spans="1:14" x14ac:dyDescent="0.25">
      <c r="A70" t="s">
        <v>81</v>
      </c>
      <c r="B70" s="2">
        <v>44928</v>
      </c>
      <c r="C70" t="s">
        <v>615</v>
      </c>
      <c r="D70" t="s">
        <v>619</v>
      </c>
      <c r="E70" t="s">
        <v>620</v>
      </c>
      <c r="F70" t="s">
        <v>625</v>
      </c>
      <c r="G70" t="s">
        <v>631</v>
      </c>
      <c r="H70">
        <v>9</v>
      </c>
      <c r="I70" s="35">
        <v>109821</v>
      </c>
      <c r="J70" s="35">
        <v>988389</v>
      </c>
      <c r="K70" s="35">
        <v>618039.73929856904</v>
      </c>
      <c r="L70" s="35">
        <v>83026.851304957177</v>
      </c>
      <c r="M70" s="35">
        <v>905362.14869504282</v>
      </c>
      <c r="N70" s="35">
        <v>287322.40939647378</v>
      </c>
    </row>
    <row r="71" spans="1:14" x14ac:dyDescent="0.25">
      <c r="A71" t="s">
        <v>82</v>
      </c>
      <c r="B71" s="2">
        <v>45316</v>
      </c>
      <c r="C71" t="s">
        <v>615</v>
      </c>
      <c r="D71" t="s">
        <v>619</v>
      </c>
      <c r="E71" t="s">
        <v>624</v>
      </c>
      <c r="F71" t="s">
        <v>625</v>
      </c>
      <c r="G71" t="s">
        <v>631</v>
      </c>
      <c r="H71">
        <v>1</v>
      </c>
      <c r="I71" s="35">
        <v>267741</v>
      </c>
      <c r="J71" s="35">
        <v>267741</v>
      </c>
      <c r="K71" s="35">
        <v>143216.68115292821</v>
      </c>
      <c r="L71" s="35">
        <v>30970.124267317111</v>
      </c>
      <c r="M71" s="35">
        <v>236770.87573268291</v>
      </c>
      <c r="N71" s="35">
        <v>93554.194579754694</v>
      </c>
    </row>
    <row r="72" spans="1:14" x14ac:dyDescent="0.25">
      <c r="A72" t="s">
        <v>83</v>
      </c>
      <c r="B72" s="2">
        <v>45492</v>
      </c>
      <c r="C72" t="s">
        <v>616</v>
      </c>
      <c r="D72" t="s">
        <v>618</v>
      </c>
      <c r="E72" t="s">
        <v>624</v>
      </c>
      <c r="F72" t="s">
        <v>625</v>
      </c>
      <c r="G72" t="s">
        <v>633</v>
      </c>
      <c r="H72">
        <v>4</v>
      </c>
      <c r="I72" s="35">
        <v>299265</v>
      </c>
      <c r="J72" s="35">
        <v>1197060</v>
      </c>
      <c r="K72" s="35">
        <v>818596.01486620051</v>
      </c>
      <c r="L72" s="35">
        <v>199337.24987555569</v>
      </c>
      <c r="M72" s="35">
        <v>997722.75012444425</v>
      </c>
      <c r="N72" s="35">
        <v>179126.73525824375</v>
      </c>
    </row>
    <row r="73" spans="1:14" x14ac:dyDescent="0.25">
      <c r="A73" t="s">
        <v>84</v>
      </c>
      <c r="B73" s="2">
        <v>45032</v>
      </c>
      <c r="C73" t="s">
        <v>617</v>
      </c>
      <c r="D73" t="s">
        <v>619</v>
      </c>
      <c r="E73" t="s">
        <v>622</v>
      </c>
      <c r="F73" t="s">
        <v>626</v>
      </c>
      <c r="G73" t="s">
        <v>631</v>
      </c>
      <c r="H73">
        <v>4</v>
      </c>
      <c r="I73" s="35">
        <v>487651</v>
      </c>
      <c r="J73" s="35">
        <v>1950604</v>
      </c>
      <c r="K73" s="35">
        <v>1524484.115522349</v>
      </c>
      <c r="L73" s="35">
        <v>313721.71354396478</v>
      </c>
      <c r="M73" s="35">
        <v>1636882.286456035</v>
      </c>
      <c r="N73" s="35">
        <v>112398.17093368596</v>
      </c>
    </row>
    <row r="74" spans="1:14" x14ac:dyDescent="0.25">
      <c r="A74" t="s">
        <v>85</v>
      </c>
      <c r="B74" s="2">
        <v>45403</v>
      </c>
      <c r="C74" t="s">
        <v>615</v>
      </c>
      <c r="D74" t="s">
        <v>618</v>
      </c>
      <c r="E74" t="s">
        <v>624</v>
      </c>
      <c r="F74" t="s">
        <v>630</v>
      </c>
      <c r="G74" t="s">
        <v>633</v>
      </c>
      <c r="H74">
        <v>9</v>
      </c>
      <c r="I74" s="35">
        <v>447745</v>
      </c>
      <c r="J74" s="35">
        <v>4029705</v>
      </c>
      <c r="K74" s="35">
        <v>2814883.2112288871</v>
      </c>
      <c r="L74" s="35">
        <v>698285.96696516953</v>
      </c>
      <c r="M74" s="35">
        <v>3331419.0330348299</v>
      </c>
      <c r="N74" s="35">
        <v>516535.8218059428</v>
      </c>
    </row>
    <row r="75" spans="1:14" x14ac:dyDescent="0.25">
      <c r="A75" t="s">
        <v>86</v>
      </c>
      <c r="B75" s="2">
        <v>45629</v>
      </c>
      <c r="C75" t="s">
        <v>617</v>
      </c>
      <c r="D75" t="s">
        <v>618</v>
      </c>
      <c r="E75" t="s">
        <v>621</v>
      </c>
      <c r="F75" t="s">
        <v>628</v>
      </c>
      <c r="G75" t="s">
        <v>632</v>
      </c>
      <c r="H75">
        <v>5</v>
      </c>
      <c r="I75" s="35">
        <v>264127</v>
      </c>
      <c r="J75" s="35">
        <v>1320635</v>
      </c>
      <c r="K75" s="35">
        <v>690746.13811321475</v>
      </c>
      <c r="L75" s="35">
        <v>15746.545291308759</v>
      </c>
      <c r="M75" s="35">
        <v>1304888.454708691</v>
      </c>
      <c r="N75" s="35">
        <v>614142.31659547624</v>
      </c>
    </row>
    <row r="76" spans="1:14" x14ac:dyDescent="0.25">
      <c r="A76" t="s">
        <v>87</v>
      </c>
      <c r="B76" s="2">
        <v>45328</v>
      </c>
      <c r="C76" t="s">
        <v>614</v>
      </c>
      <c r="D76" t="s">
        <v>618</v>
      </c>
      <c r="E76" t="s">
        <v>621</v>
      </c>
      <c r="F76" t="s">
        <v>625</v>
      </c>
      <c r="G76" t="s">
        <v>631</v>
      </c>
      <c r="H76">
        <v>5</v>
      </c>
      <c r="I76" s="35">
        <v>324336</v>
      </c>
      <c r="J76" s="35">
        <v>1621680</v>
      </c>
      <c r="K76" s="35">
        <v>983386.52739006269</v>
      </c>
      <c r="L76" s="35">
        <v>224456.90817069871</v>
      </c>
      <c r="M76" s="35">
        <v>1397223.0918293011</v>
      </c>
      <c r="N76" s="35">
        <v>413836.5644392384</v>
      </c>
    </row>
    <row r="77" spans="1:14" x14ac:dyDescent="0.25">
      <c r="A77" t="s">
        <v>88</v>
      </c>
      <c r="B77" s="2">
        <v>45656</v>
      </c>
      <c r="C77" t="s">
        <v>613</v>
      </c>
      <c r="D77" t="s">
        <v>619</v>
      </c>
      <c r="E77" t="s">
        <v>624</v>
      </c>
      <c r="F77" t="s">
        <v>626</v>
      </c>
      <c r="G77" t="s">
        <v>633</v>
      </c>
      <c r="H77">
        <v>6</v>
      </c>
      <c r="I77" s="35">
        <v>386246</v>
      </c>
      <c r="J77" s="35">
        <v>2317476</v>
      </c>
      <c r="K77" s="35">
        <v>1541582.7497799201</v>
      </c>
      <c r="L77" s="35">
        <v>64883.477171128827</v>
      </c>
      <c r="M77" s="35">
        <v>2252592.5228288709</v>
      </c>
      <c r="N77" s="35">
        <v>711009.77304895082</v>
      </c>
    </row>
    <row r="78" spans="1:14" x14ac:dyDescent="0.25">
      <c r="A78" t="s">
        <v>89</v>
      </c>
      <c r="B78" s="2">
        <v>45482</v>
      </c>
      <c r="C78" t="s">
        <v>614</v>
      </c>
      <c r="D78" t="s">
        <v>619</v>
      </c>
      <c r="E78" t="s">
        <v>624</v>
      </c>
      <c r="F78" t="s">
        <v>628</v>
      </c>
      <c r="G78" t="s">
        <v>631</v>
      </c>
      <c r="H78">
        <v>1</v>
      </c>
      <c r="I78" s="35">
        <v>253834</v>
      </c>
      <c r="J78" s="35">
        <v>253834</v>
      </c>
      <c r="K78" s="35">
        <v>157621.35127109839</v>
      </c>
      <c r="L78" s="35">
        <v>21109.778078877069</v>
      </c>
      <c r="M78" s="35">
        <v>232724.22192112289</v>
      </c>
      <c r="N78" s="35">
        <v>75102.870650024503</v>
      </c>
    </row>
    <row r="79" spans="1:14" x14ac:dyDescent="0.25">
      <c r="A79" t="s">
        <v>90</v>
      </c>
      <c r="B79" s="2">
        <v>45088</v>
      </c>
      <c r="C79" t="s">
        <v>614</v>
      </c>
      <c r="D79" t="s">
        <v>619</v>
      </c>
      <c r="E79" t="s">
        <v>622</v>
      </c>
      <c r="F79" t="s">
        <v>629</v>
      </c>
      <c r="G79" t="s">
        <v>632</v>
      </c>
      <c r="H79">
        <v>1</v>
      </c>
      <c r="I79" s="35">
        <v>284538</v>
      </c>
      <c r="J79" s="35">
        <v>284538</v>
      </c>
      <c r="K79" s="35">
        <v>213430.0198357754</v>
      </c>
      <c r="L79" s="35">
        <v>31218.850088566189</v>
      </c>
      <c r="M79" s="35">
        <v>253319.14991143381</v>
      </c>
      <c r="N79" s="35">
        <v>39889.13007565841</v>
      </c>
    </row>
    <row r="80" spans="1:14" x14ac:dyDescent="0.25">
      <c r="A80" t="s">
        <v>91</v>
      </c>
      <c r="B80" s="2">
        <v>45128</v>
      </c>
      <c r="C80" t="s">
        <v>616</v>
      </c>
      <c r="D80" t="s">
        <v>619</v>
      </c>
      <c r="E80" t="s">
        <v>624</v>
      </c>
      <c r="F80" t="s">
        <v>629</v>
      </c>
      <c r="G80" t="s">
        <v>632</v>
      </c>
      <c r="H80">
        <v>9</v>
      </c>
      <c r="I80" s="35">
        <v>427038</v>
      </c>
      <c r="J80" s="35">
        <v>3843342</v>
      </c>
      <c r="K80" s="35">
        <v>2860988.7865752298</v>
      </c>
      <c r="L80" s="35">
        <v>309573.11535717081</v>
      </c>
      <c r="M80" s="35">
        <v>3533768.8846428292</v>
      </c>
      <c r="N80" s="35">
        <v>672780.09806759935</v>
      </c>
    </row>
    <row r="81" spans="1:14" x14ac:dyDescent="0.25">
      <c r="A81" t="s">
        <v>92</v>
      </c>
      <c r="B81" s="2">
        <v>45196</v>
      </c>
      <c r="C81" t="s">
        <v>613</v>
      </c>
      <c r="D81" t="s">
        <v>618</v>
      </c>
      <c r="E81" t="s">
        <v>622</v>
      </c>
      <c r="F81" t="s">
        <v>625</v>
      </c>
      <c r="G81" t="s">
        <v>632</v>
      </c>
      <c r="H81">
        <v>3</v>
      </c>
      <c r="I81" s="35">
        <v>136795</v>
      </c>
      <c r="J81" s="35">
        <v>410385</v>
      </c>
      <c r="K81" s="35">
        <v>280518.38195551821</v>
      </c>
      <c r="L81" s="35">
        <v>42648.167514883447</v>
      </c>
      <c r="M81" s="35">
        <v>367736.83248511661</v>
      </c>
      <c r="N81" s="35">
        <v>87218.450529598398</v>
      </c>
    </row>
    <row r="82" spans="1:14" x14ac:dyDescent="0.25">
      <c r="A82" t="s">
        <v>93</v>
      </c>
      <c r="B82" s="2">
        <v>45197</v>
      </c>
      <c r="C82" t="s">
        <v>614</v>
      </c>
      <c r="D82" t="s">
        <v>619</v>
      </c>
      <c r="E82" t="s">
        <v>622</v>
      </c>
      <c r="F82" t="s">
        <v>626</v>
      </c>
      <c r="G82" t="s">
        <v>631</v>
      </c>
      <c r="H82">
        <v>4</v>
      </c>
      <c r="I82" s="35">
        <v>215159</v>
      </c>
      <c r="J82" s="35">
        <v>860636</v>
      </c>
      <c r="K82" s="35">
        <v>526741.40562016936</v>
      </c>
      <c r="L82" s="35">
        <v>171529.2832598417</v>
      </c>
      <c r="M82" s="35">
        <v>689106.71674015827</v>
      </c>
      <c r="N82" s="35">
        <v>162365.31111998891</v>
      </c>
    </row>
    <row r="83" spans="1:14" x14ac:dyDescent="0.25">
      <c r="A83" t="s">
        <v>94</v>
      </c>
      <c r="B83" s="2">
        <v>45382</v>
      </c>
      <c r="C83" t="s">
        <v>614</v>
      </c>
      <c r="D83" t="s">
        <v>619</v>
      </c>
      <c r="E83" t="s">
        <v>624</v>
      </c>
      <c r="F83" t="s">
        <v>626</v>
      </c>
      <c r="G83" t="s">
        <v>631</v>
      </c>
      <c r="H83">
        <v>1</v>
      </c>
      <c r="I83" s="35">
        <v>378821</v>
      </c>
      <c r="J83" s="35">
        <v>378821</v>
      </c>
      <c r="K83" s="35">
        <v>218428.53413360979</v>
      </c>
      <c r="L83" s="35">
        <v>10244.63159960347</v>
      </c>
      <c r="M83" s="35">
        <v>368576.36840039649</v>
      </c>
      <c r="N83" s="35">
        <v>150147.8342667867</v>
      </c>
    </row>
    <row r="84" spans="1:14" x14ac:dyDescent="0.25">
      <c r="A84" t="s">
        <v>95</v>
      </c>
      <c r="B84" s="2">
        <v>45388</v>
      </c>
      <c r="C84" t="s">
        <v>613</v>
      </c>
      <c r="D84" t="s">
        <v>618</v>
      </c>
      <c r="E84" t="s">
        <v>623</v>
      </c>
      <c r="F84" t="s">
        <v>628</v>
      </c>
      <c r="G84" t="s">
        <v>633</v>
      </c>
      <c r="H84">
        <v>9</v>
      </c>
      <c r="I84" s="35">
        <v>185699</v>
      </c>
      <c r="J84" s="35">
        <v>1671291</v>
      </c>
      <c r="K84" s="35">
        <v>888729.53854822181</v>
      </c>
      <c r="L84" s="35">
        <v>225776.72189327201</v>
      </c>
      <c r="M84" s="35">
        <v>1445514.2781067281</v>
      </c>
      <c r="N84" s="35">
        <v>556784.73955850629</v>
      </c>
    </row>
    <row r="85" spans="1:14" x14ac:dyDescent="0.25">
      <c r="A85" t="s">
        <v>96</v>
      </c>
      <c r="B85" s="2">
        <v>45653</v>
      </c>
      <c r="C85" t="s">
        <v>613</v>
      </c>
      <c r="D85" t="s">
        <v>619</v>
      </c>
      <c r="E85" t="s">
        <v>623</v>
      </c>
      <c r="F85" t="s">
        <v>628</v>
      </c>
      <c r="G85" t="s">
        <v>632</v>
      </c>
      <c r="H85">
        <v>8</v>
      </c>
      <c r="I85" s="35">
        <v>499757</v>
      </c>
      <c r="J85" s="35">
        <v>3998056</v>
      </c>
      <c r="K85" s="35">
        <v>2424698.2438548552</v>
      </c>
      <c r="L85" s="35">
        <v>316646.80793276138</v>
      </c>
      <c r="M85" s="35">
        <v>3681409.192067239</v>
      </c>
      <c r="N85" s="35">
        <v>1256710.9482123838</v>
      </c>
    </row>
    <row r="86" spans="1:14" x14ac:dyDescent="0.25">
      <c r="A86" t="s">
        <v>97</v>
      </c>
      <c r="B86" s="2">
        <v>45178</v>
      </c>
      <c r="C86" t="s">
        <v>614</v>
      </c>
      <c r="D86" t="s">
        <v>618</v>
      </c>
      <c r="E86" t="s">
        <v>622</v>
      </c>
      <c r="F86" t="s">
        <v>626</v>
      </c>
      <c r="G86" t="s">
        <v>631</v>
      </c>
      <c r="H86">
        <v>2</v>
      </c>
      <c r="I86" s="35">
        <v>293877</v>
      </c>
      <c r="J86" s="35">
        <v>587754</v>
      </c>
      <c r="K86" s="35">
        <v>366730.13990367192</v>
      </c>
      <c r="L86" s="35">
        <v>15635.408269395621</v>
      </c>
      <c r="M86" s="35">
        <v>572118.59173060441</v>
      </c>
      <c r="N86" s="35">
        <v>205388.45182693249</v>
      </c>
    </row>
    <row r="87" spans="1:14" x14ac:dyDescent="0.25">
      <c r="A87" t="s">
        <v>98</v>
      </c>
      <c r="B87" s="2">
        <v>45628</v>
      </c>
      <c r="C87" t="s">
        <v>613</v>
      </c>
      <c r="D87" t="s">
        <v>618</v>
      </c>
      <c r="E87" t="s">
        <v>624</v>
      </c>
      <c r="F87" t="s">
        <v>628</v>
      </c>
      <c r="G87" t="s">
        <v>632</v>
      </c>
      <c r="H87">
        <v>8</v>
      </c>
      <c r="I87" s="35">
        <v>249298</v>
      </c>
      <c r="J87" s="35">
        <v>1994384</v>
      </c>
      <c r="K87" s="35">
        <v>1401547.128598229</v>
      </c>
      <c r="L87" s="35">
        <v>63316.412217101803</v>
      </c>
      <c r="M87" s="35">
        <v>1931067.587782898</v>
      </c>
      <c r="N87" s="35">
        <v>529520.45918466896</v>
      </c>
    </row>
    <row r="88" spans="1:14" x14ac:dyDescent="0.25">
      <c r="A88" t="s">
        <v>99</v>
      </c>
      <c r="B88" s="2">
        <v>45222</v>
      </c>
      <c r="C88" t="s">
        <v>614</v>
      </c>
      <c r="D88" t="s">
        <v>618</v>
      </c>
      <c r="E88" t="s">
        <v>623</v>
      </c>
      <c r="F88" t="s">
        <v>626</v>
      </c>
      <c r="G88" t="s">
        <v>632</v>
      </c>
      <c r="H88">
        <v>7</v>
      </c>
      <c r="I88" s="35">
        <v>446471</v>
      </c>
      <c r="J88" s="35">
        <v>3125297</v>
      </c>
      <c r="K88" s="35">
        <v>2179731.9773193202</v>
      </c>
      <c r="L88" s="35">
        <v>593352.07822602161</v>
      </c>
      <c r="M88" s="35">
        <v>2531944.921773979</v>
      </c>
      <c r="N88" s="35">
        <v>352212.94445465878</v>
      </c>
    </row>
    <row r="89" spans="1:14" x14ac:dyDescent="0.25">
      <c r="A89" t="s">
        <v>100</v>
      </c>
      <c r="B89" s="2">
        <v>45651</v>
      </c>
      <c r="C89" t="s">
        <v>614</v>
      </c>
      <c r="D89" t="s">
        <v>618</v>
      </c>
      <c r="E89" t="s">
        <v>624</v>
      </c>
      <c r="F89" t="s">
        <v>630</v>
      </c>
      <c r="G89" t="s">
        <v>633</v>
      </c>
      <c r="H89">
        <v>6</v>
      </c>
      <c r="I89" s="35">
        <v>238505</v>
      </c>
      <c r="J89" s="35">
        <v>1431030</v>
      </c>
      <c r="K89" s="35">
        <v>745613.05532124836</v>
      </c>
      <c r="L89" s="35">
        <v>251747.2259678866</v>
      </c>
      <c r="M89" s="35">
        <v>1179282.7740321129</v>
      </c>
      <c r="N89" s="35">
        <v>433669.71871086454</v>
      </c>
    </row>
    <row r="90" spans="1:14" x14ac:dyDescent="0.25">
      <c r="A90" t="s">
        <v>101</v>
      </c>
      <c r="B90" s="2">
        <v>45646</v>
      </c>
      <c r="C90" t="s">
        <v>616</v>
      </c>
      <c r="D90" t="s">
        <v>618</v>
      </c>
      <c r="E90" t="s">
        <v>624</v>
      </c>
      <c r="F90" t="s">
        <v>626</v>
      </c>
      <c r="G90" t="s">
        <v>633</v>
      </c>
      <c r="H90">
        <v>1</v>
      </c>
      <c r="I90" s="35">
        <v>186285</v>
      </c>
      <c r="J90" s="35">
        <v>186285</v>
      </c>
      <c r="K90" s="35">
        <v>115231.764472528</v>
      </c>
      <c r="L90" s="35">
        <v>33793.662319182469</v>
      </c>
      <c r="M90" s="35">
        <v>152491.33768081749</v>
      </c>
      <c r="N90" s="35">
        <v>37259.573208289497</v>
      </c>
    </row>
    <row r="91" spans="1:14" x14ac:dyDescent="0.25">
      <c r="A91" t="s">
        <v>102</v>
      </c>
      <c r="B91" s="2">
        <v>45264</v>
      </c>
      <c r="C91" t="s">
        <v>615</v>
      </c>
      <c r="D91" t="s">
        <v>618</v>
      </c>
      <c r="E91" t="s">
        <v>624</v>
      </c>
      <c r="F91" t="s">
        <v>629</v>
      </c>
      <c r="G91" t="s">
        <v>633</v>
      </c>
      <c r="H91">
        <v>7</v>
      </c>
      <c r="I91" s="35">
        <v>152412</v>
      </c>
      <c r="J91" s="35">
        <v>1066884</v>
      </c>
      <c r="K91" s="35">
        <v>591623.08949169831</v>
      </c>
      <c r="L91" s="35">
        <v>211570.09080116509</v>
      </c>
      <c r="M91" s="35">
        <v>855313.90919883491</v>
      </c>
      <c r="N91" s="35">
        <v>263690.8197071366</v>
      </c>
    </row>
    <row r="92" spans="1:14" x14ac:dyDescent="0.25">
      <c r="A92" t="s">
        <v>103</v>
      </c>
      <c r="B92" s="2">
        <v>44979</v>
      </c>
      <c r="C92" t="s">
        <v>614</v>
      </c>
      <c r="D92" t="s">
        <v>618</v>
      </c>
      <c r="E92" t="s">
        <v>620</v>
      </c>
      <c r="F92" t="s">
        <v>628</v>
      </c>
      <c r="G92" t="s">
        <v>633</v>
      </c>
      <c r="H92">
        <v>7</v>
      </c>
      <c r="I92" s="35">
        <v>69404</v>
      </c>
      <c r="J92" s="35">
        <v>485828</v>
      </c>
      <c r="K92" s="35">
        <v>265769.20089959592</v>
      </c>
      <c r="L92" s="35">
        <v>20241.089859411659</v>
      </c>
      <c r="M92" s="35">
        <v>465586.91014058841</v>
      </c>
      <c r="N92" s="35">
        <v>199817.7092409925</v>
      </c>
    </row>
    <row r="93" spans="1:14" x14ac:dyDescent="0.25">
      <c r="A93" t="s">
        <v>104</v>
      </c>
      <c r="B93" s="2">
        <v>45143</v>
      </c>
      <c r="C93" t="s">
        <v>617</v>
      </c>
      <c r="D93" t="s">
        <v>618</v>
      </c>
      <c r="E93" t="s">
        <v>624</v>
      </c>
      <c r="F93" t="s">
        <v>626</v>
      </c>
      <c r="G93" t="s">
        <v>632</v>
      </c>
      <c r="H93">
        <v>9</v>
      </c>
      <c r="I93" s="35">
        <v>166545</v>
      </c>
      <c r="J93" s="35">
        <v>1498905</v>
      </c>
      <c r="K93" s="35">
        <v>1121466.698625572</v>
      </c>
      <c r="L93" s="35">
        <v>106553.9599943358</v>
      </c>
      <c r="M93" s="35">
        <v>1392351.0400056641</v>
      </c>
      <c r="N93" s="35">
        <v>270884.34138009208</v>
      </c>
    </row>
    <row r="94" spans="1:14" x14ac:dyDescent="0.25">
      <c r="A94" t="s">
        <v>105</v>
      </c>
      <c r="B94" s="2">
        <v>45114</v>
      </c>
      <c r="C94" t="s">
        <v>615</v>
      </c>
      <c r="D94" t="s">
        <v>619</v>
      </c>
      <c r="E94" t="s">
        <v>620</v>
      </c>
      <c r="F94" t="s">
        <v>626</v>
      </c>
      <c r="G94" t="s">
        <v>633</v>
      </c>
      <c r="H94">
        <v>1</v>
      </c>
      <c r="I94" s="35">
        <v>468596</v>
      </c>
      <c r="J94" s="35">
        <v>468596</v>
      </c>
      <c r="K94" s="35">
        <v>240190.39086771151</v>
      </c>
      <c r="L94" s="35">
        <v>62718.672109334562</v>
      </c>
      <c r="M94" s="35">
        <v>405877.32789066539</v>
      </c>
      <c r="N94" s="35">
        <v>165686.93702295388</v>
      </c>
    </row>
    <row r="95" spans="1:14" x14ac:dyDescent="0.25">
      <c r="A95" t="s">
        <v>106</v>
      </c>
      <c r="B95" s="2">
        <v>45306</v>
      </c>
      <c r="C95" t="s">
        <v>615</v>
      </c>
      <c r="D95" t="s">
        <v>619</v>
      </c>
      <c r="E95" t="s">
        <v>622</v>
      </c>
      <c r="F95" t="s">
        <v>628</v>
      </c>
      <c r="G95" t="s">
        <v>633</v>
      </c>
      <c r="H95">
        <v>2</v>
      </c>
      <c r="I95" s="35">
        <v>272128</v>
      </c>
      <c r="J95" s="35">
        <v>544256</v>
      </c>
      <c r="K95" s="35">
        <v>340570.83859209548</v>
      </c>
      <c r="L95" s="35">
        <v>52662.487026879287</v>
      </c>
      <c r="M95" s="35">
        <v>491593.51297312073</v>
      </c>
      <c r="N95" s="35">
        <v>151022.67438102525</v>
      </c>
    </row>
    <row r="96" spans="1:14" x14ac:dyDescent="0.25">
      <c r="A96" t="s">
        <v>107</v>
      </c>
      <c r="B96" s="2">
        <v>45419</v>
      </c>
      <c r="C96" t="s">
        <v>615</v>
      </c>
      <c r="D96" t="s">
        <v>619</v>
      </c>
      <c r="E96" t="s">
        <v>623</v>
      </c>
      <c r="F96" t="s">
        <v>630</v>
      </c>
      <c r="G96" t="s">
        <v>633</v>
      </c>
      <c r="H96">
        <v>9</v>
      </c>
      <c r="I96" s="35">
        <v>200245</v>
      </c>
      <c r="J96" s="35">
        <v>1802205</v>
      </c>
      <c r="K96" s="35">
        <v>992043.74083220935</v>
      </c>
      <c r="L96" s="35">
        <v>150804.7418004199</v>
      </c>
      <c r="M96" s="35">
        <v>1651400.25819958</v>
      </c>
      <c r="N96" s="35">
        <v>659356.51736737066</v>
      </c>
    </row>
    <row r="97" spans="1:14" x14ac:dyDescent="0.25">
      <c r="A97" t="s">
        <v>108</v>
      </c>
      <c r="B97" s="2">
        <v>44967</v>
      </c>
      <c r="C97" t="s">
        <v>616</v>
      </c>
      <c r="D97" t="s">
        <v>619</v>
      </c>
      <c r="E97" t="s">
        <v>623</v>
      </c>
      <c r="F97" t="s">
        <v>630</v>
      </c>
      <c r="G97" t="s">
        <v>633</v>
      </c>
      <c r="H97">
        <v>9</v>
      </c>
      <c r="I97" s="35">
        <v>234099</v>
      </c>
      <c r="J97" s="35">
        <v>2106891</v>
      </c>
      <c r="K97" s="35">
        <v>1609241.375232311</v>
      </c>
      <c r="L97" s="35">
        <v>150773.86018478341</v>
      </c>
      <c r="M97" s="35">
        <v>1956117.1398152169</v>
      </c>
      <c r="N97" s="35">
        <v>346875.76458290592</v>
      </c>
    </row>
    <row r="98" spans="1:14" x14ac:dyDescent="0.25">
      <c r="A98" t="s">
        <v>109</v>
      </c>
      <c r="B98" s="2">
        <v>45083</v>
      </c>
      <c r="C98" t="s">
        <v>614</v>
      </c>
      <c r="D98" t="s">
        <v>618</v>
      </c>
      <c r="E98" t="s">
        <v>623</v>
      </c>
      <c r="F98" t="s">
        <v>628</v>
      </c>
      <c r="G98" t="s">
        <v>632</v>
      </c>
      <c r="H98">
        <v>6</v>
      </c>
      <c r="I98" s="35">
        <v>336133</v>
      </c>
      <c r="J98" s="35">
        <v>2016798</v>
      </c>
      <c r="K98" s="35">
        <v>1345430.4579276191</v>
      </c>
      <c r="L98" s="35">
        <v>239507.11818845809</v>
      </c>
      <c r="M98" s="35">
        <v>1777290.881811542</v>
      </c>
      <c r="N98" s="35">
        <v>431860.42388392286</v>
      </c>
    </row>
    <row r="99" spans="1:14" x14ac:dyDescent="0.25">
      <c r="A99" t="s">
        <v>110</v>
      </c>
      <c r="B99" s="2">
        <v>44941</v>
      </c>
      <c r="C99" t="s">
        <v>616</v>
      </c>
      <c r="D99" t="s">
        <v>619</v>
      </c>
      <c r="E99" t="s">
        <v>623</v>
      </c>
      <c r="F99" t="s">
        <v>627</v>
      </c>
      <c r="G99" t="s">
        <v>633</v>
      </c>
      <c r="H99">
        <v>6</v>
      </c>
      <c r="I99" s="35">
        <v>311657</v>
      </c>
      <c r="J99" s="35">
        <v>1869942</v>
      </c>
      <c r="K99" s="35">
        <v>1064771.5109843391</v>
      </c>
      <c r="L99" s="35">
        <v>215265.26542761849</v>
      </c>
      <c r="M99" s="35">
        <v>1654676.734572381</v>
      </c>
      <c r="N99" s="35">
        <v>589905.22358804196</v>
      </c>
    </row>
    <row r="100" spans="1:14" x14ac:dyDescent="0.25">
      <c r="A100" t="s">
        <v>111</v>
      </c>
      <c r="B100" s="2">
        <v>44991</v>
      </c>
      <c r="C100" t="s">
        <v>614</v>
      </c>
      <c r="D100" t="s">
        <v>618</v>
      </c>
      <c r="E100" t="s">
        <v>623</v>
      </c>
      <c r="F100" t="s">
        <v>628</v>
      </c>
      <c r="G100" t="s">
        <v>632</v>
      </c>
      <c r="H100">
        <v>4</v>
      </c>
      <c r="I100" s="35">
        <v>420250</v>
      </c>
      <c r="J100" s="35">
        <v>1681000</v>
      </c>
      <c r="K100" s="35">
        <v>1093874.080918004</v>
      </c>
      <c r="L100" s="35">
        <v>54282.12381239752</v>
      </c>
      <c r="M100" s="35">
        <v>1626717.876187603</v>
      </c>
      <c r="N100" s="35">
        <v>532843.79526959895</v>
      </c>
    </row>
    <row r="101" spans="1:14" x14ac:dyDescent="0.25">
      <c r="A101" t="s">
        <v>112</v>
      </c>
      <c r="B101" s="2">
        <v>45447</v>
      </c>
      <c r="C101" t="s">
        <v>616</v>
      </c>
      <c r="D101" t="s">
        <v>619</v>
      </c>
      <c r="E101" t="s">
        <v>623</v>
      </c>
      <c r="F101" t="s">
        <v>628</v>
      </c>
      <c r="G101" t="s">
        <v>631</v>
      </c>
      <c r="H101">
        <v>4</v>
      </c>
      <c r="I101" s="35">
        <v>336663</v>
      </c>
      <c r="J101" s="35">
        <v>1346652</v>
      </c>
      <c r="K101" s="35">
        <v>968843.27078007616</v>
      </c>
      <c r="L101" s="35">
        <v>127053.8791347762</v>
      </c>
      <c r="M101" s="35">
        <v>1219598.1208652239</v>
      </c>
      <c r="N101" s="35">
        <v>250754.85008514777</v>
      </c>
    </row>
    <row r="102" spans="1:14" x14ac:dyDescent="0.25">
      <c r="A102" t="s">
        <v>113</v>
      </c>
      <c r="B102" s="2">
        <v>45270</v>
      </c>
      <c r="C102" t="s">
        <v>616</v>
      </c>
      <c r="D102" t="s">
        <v>619</v>
      </c>
      <c r="E102" t="s">
        <v>623</v>
      </c>
      <c r="F102" t="s">
        <v>630</v>
      </c>
      <c r="G102" t="s">
        <v>632</v>
      </c>
      <c r="H102">
        <v>5</v>
      </c>
      <c r="I102" s="35">
        <v>306875</v>
      </c>
      <c r="J102" s="35">
        <v>1534375</v>
      </c>
      <c r="K102" s="35">
        <v>1208221.195980727</v>
      </c>
      <c r="L102" s="35">
        <v>169846.65132439771</v>
      </c>
      <c r="M102" s="35">
        <v>1364528.3486756021</v>
      </c>
      <c r="N102" s="35">
        <v>156307.15269487514</v>
      </c>
    </row>
    <row r="103" spans="1:14" x14ac:dyDescent="0.25">
      <c r="A103" t="s">
        <v>114</v>
      </c>
      <c r="B103" s="2">
        <v>45055</v>
      </c>
      <c r="C103" t="s">
        <v>617</v>
      </c>
      <c r="D103" t="s">
        <v>619</v>
      </c>
      <c r="E103" t="s">
        <v>622</v>
      </c>
      <c r="F103" t="s">
        <v>630</v>
      </c>
      <c r="G103" t="s">
        <v>632</v>
      </c>
      <c r="H103">
        <v>3</v>
      </c>
      <c r="I103" s="35">
        <v>334583</v>
      </c>
      <c r="J103" s="35">
        <v>1003749</v>
      </c>
      <c r="K103" s="35">
        <v>568256.23689460044</v>
      </c>
      <c r="L103" s="35">
        <v>114484.9888929389</v>
      </c>
      <c r="M103" s="35">
        <v>889264.01110706106</v>
      </c>
      <c r="N103" s="35">
        <v>321007.77421246062</v>
      </c>
    </row>
    <row r="104" spans="1:14" x14ac:dyDescent="0.25">
      <c r="A104" t="s">
        <v>115</v>
      </c>
      <c r="B104" s="2">
        <v>45574</v>
      </c>
      <c r="C104" t="s">
        <v>616</v>
      </c>
      <c r="D104" t="s">
        <v>618</v>
      </c>
      <c r="E104" t="s">
        <v>624</v>
      </c>
      <c r="F104" t="s">
        <v>628</v>
      </c>
      <c r="G104" t="s">
        <v>633</v>
      </c>
      <c r="H104">
        <v>1</v>
      </c>
      <c r="I104" s="35">
        <v>430714</v>
      </c>
      <c r="J104" s="35">
        <v>430714</v>
      </c>
      <c r="K104" s="35">
        <v>329864.26874027558</v>
      </c>
      <c r="L104" s="35">
        <v>18099.221897610139</v>
      </c>
      <c r="M104" s="35">
        <v>412614.77810238989</v>
      </c>
      <c r="N104" s="35">
        <v>82750.509362114302</v>
      </c>
    </row>
    <row r="105" spans="1:14" x14ac:dyDescent="0.25">
      <c r="A105" t="s">
        <v>116</v>
      </c>
      <c r="B105" s="2">
        <v>45398</v>
      </c>
      <c r="C105" t="s">
        <v>613</v>
      </c>
      <c r="D105" t="s">
        <v>619</v>
      </c>
      <c r="E105" t="s">
        <v>621</v>
      </c>
      <c r="F105" t="s">
        <v>628</v>
      </c>
      <c r="G105" t="s">
        <v>631</v>
      </c>
      <c r="H105">
        <v>1</v>
      </c>
      <c r="I105" s="35">
        <v>64995</v>
      </c>
      <c r="J105" s="35">
        <v>64995</v>
      </c>
      <c r="K105" s="35">
        <v>50715.02877009481</v>
      </c>
      <c r="L105" s="35">
        <v>9648.7858278874755</v>
      </c>
      <c r="M105" s="35">
        <v>55346.214172112523</v>
      </c>
      <c r="N105" s="35">
        <v>4631.1854020177125</v>
      </c>
    </row>
    <row r="106" spans="1:14" x14ac:dyDescent="0.25">
      <c r="A106" t="s">
        <v>117</v>
      </c>
      <c r="B106" s="2">
        <v>44989</v>
      </c>
      <c r="C106" t="s">
        <v>617</v>
      </c>
      <c r="D106" t="s">
        <v>618</v>
      </c>
      <c r="E106" t="s">
        <v>620</v>
      </c>
      <c r="F106" t="s">
        <v>628</v>
      </c>
      <c r="G106" t="s">
        <v>631</v>
      </c>
      <c r="H106">
        <v>7</v>
      </c>
      <c r="I106" s="35">
        <v>73559</v>
      </c>
      <c r="J106" s="35">
        <v>514913</v>
      </c>
      <c r="K106" s="35">
        <v>399019.55555399187</v>
      </c>
      <c r="L106" s="35">
        <v>2595.068302320286</v>
      </c>
      <c r="M106" s="35">
        <v>512317.93169767968</v>
      </c>
      <c r="N106" s="35">
        <v>113298.37614368781</v>
      </c>
    </row>
    <row r="107" spans="1:14" x14ac:dyDescent="0.25">
      <c r="A107" t="s">
        <v>118</v>
      </c>
      <c r="B107" s="2">
        <v>45065</v>
      </c>
      <c r="C107" t="s">
        <v>616</v>
      </c>
      <c r="D107" t="s">
        <v>618</v>
      </c>
      <c r="E107" t="s">
        <v>621</v>
      </c>
      <c r="F107" t="s">
        <v>630</v>
      </c>
      <c r="G107" t="s">
        <v>631</v>
      </c>
      <c r="H107">
        <v>1</v>
      </c>
      <c r="I107" s="35">
        <v>401193</v>
      </c>
      <c r="J107" s="35">
        <v>401193</v>
      </c>
      <c r="K107" s="35">
        <v>277073.63762175012</v>
      </c>
      <c r="L107" s="35">
        <v>28471.21132418561</v>
      </c>
      <c r="M107" s="35">
        <v>372721.7886758144</v>
      </c>
      <c r="N107" s="35">
        <v>95648.151054064278</v>
      </c>
    </row>
    <row r="108" spans="1:14" x14ac:dyDescent="0.25">
      <c r="A108" t="s">
        <v>119</v>
      </c>
      <c r="B108" s="2">
        <v>45425</v>
      </c>
      <c r="C108" t="s">
        <v>615</v>
      </c>
      <c r="D108" t="s">
        <v>619</v>
      </c>
      <c r="E108" t="s">
        <v>621</v>
      </c>
      <c r="F108" t="s">
        <v>628</v>
      </c>
      <c r="G108" t="s">
        <v>631</v>
      </c>
      <c r="H108">
        <v>1</v>
      </c>
      <c r="I108" s="35">
        <v>448237</v>
      </c>
      <c r="J108" s="35">
        <v>448237</v>
      </c>
      <c r="K108" s="35">
        <v>308811.17620455503</v>
      </c>
      <c r="L108" s="35">
        <v>69944.035388333359</v>
      </c>
      <c r="M108" s="35">
        <v>378292.96461166663</v>
      </c>
      <c r="N108" s="35">
        <v>69481.788407111599</v>
      </c>
    </row>
    <row r="109" spans="1:14" x14ac:dyDescent="0.25">
      <c r="A109" t="s">
        <v>120</v>
      </c>
      <c r="B109" s="2">
        <v>45519</v>
      </c>
      <c r="C109" t="s">
        <v>613</v>
      </c>
      <c r="D109" t="s">
        <v>619</v>
      </c>
      <c r="E109" t="s">
        <v>624</v>
      </c>
      <c r="F109" t="s">
        <v>628</v>
      </c>
      <c r="G109" t="s">
        <v>632</v>
      </c>
      <c r="H109">
        <v>3</v>
      </c>
      <c r="I109" s="35">
        <v>148000</v>
      </c>
      <c r="J109" s="35">
        <v>444000</v>
      </c>
      <c r="K109" s="35">
        <v>275707.6563400852</v>
      </c>
      <c r="L109" s="35">
        <v>50073.69138971973</v>
      </c>
      <c r="M109" s="35">
        <v>393926.30861028028</v>
      </c>
      <c r="N109" s="35">
        <v>118218.65227019507</v>
      </c>
    </row>
    <row r="110" spans="1:14" x14ac:dyDescent="0.25">
      <c r="A110" t="s">
        <v>121</v>
      </c>
      <c r="B110" s="2">
        <v>45318</v>
      </c>
      <c r="C110" t="s">
        <v>613</v>
      </c>
      <c r="D110" t="s">
        <v>619</v>
      </c>
      <c r="E110" t="s">
        <v>624</v>
      </c>
      <c r="F110" t="s">
        <v>625</v>
      </c>
      <c r="G110" t="s">
        <v>631</v>
      </c>
      <c r="H110">
        <v>4</v>
      </c>
      <c r="I110" s="35">
        <v>202191</v>
      </c>
      <c r="J110" s="35">
        <v>808764</v>
      </c>
      <c r="K110" s="35">
        <v>586935.6962650622</v>
      </c>
      <c r="L110" s="35">
        <v>42243.754713442671</v>
      </c>
      <c r="M110" s="35">
        <v>766520.24528655736</v>
      </c>
      <c r="N110" s="35">
        <v>179584.54902149516</v>
      </c>
    </row>
    <row r="111" spans="1:14" x14ac:dyDescent="0.25">
      <c r="A111" t="s">
        <v>122</v>
      </c>
      <c r="B111" s="2">
        <v>45601</v>
      </c>
      <c r="C111" t="s">
        <v>613</v>
      </c>
      <c r="D111" t="s">
        <v>618</v>
      </c>
      <c r="E111" t="s">
        <v>624</v>
      </c>
      <c r="F111" t="s">
        <v>627</v>
      </c>
      <c r="G111" t="s">
        <v>632</v>
      </c>
      <c r="H111">
        <v>4</v>
      </c>
      <c r="I111" s="35">
        <v>494755</v>
      </c>
      <c r="J111" s="35">
        <v>1979020</v>
      </c>
      <c r="K111" s="35">
        <v>1304942.446459058</v>
      </c>
      <c r="L111" s="35">
        <v>275065.22444845567</v>
      </c>
      <c r="M111" s="35">
        <v>1703954.775551544</v>
      </c>
      <c r="N111" s="35">
        <v>399012.32909248606</v>
      </c>
    </row>
    <row r="112" spans="1:14" x14ac:dyDescent="0.25">
      <c r="A112" t="s">
        <v>123</v>
      </c>
      <c r="B112" s="2">
        <v>45345</v>
      </c>
      <c r="C112" t="s">
        <v>617</v>
      </c>
      <c r="D112" t="s">
        <v>619</v>
      </c>
      <c r="E112" t="s">
        <v>623</v>
      </c>
      <c r="F112" t="s">
        <v>629</v>
      </c>
      <c r="G112" t="s">
        <v>632</v>
      </c>
      <c r="H112">
        <v>2</v>
      </c>
      <c r="I112" s="35">
        <v>351494</v>
      </c>
      <c r="J112" s="35">
        <v>702988</v>
      </c>
      <c r="K112" s="35">
        <v>494363.25044499087</v>
      </c>
      <c r="L112" s="35">
        <v>79773.805010077951</v>
      </c>
      <c r="M112" s="35">
        <v>623214.19498992199</v>
      </c>
      <c r="N112" s="35">
        <v>128850.94454493112</v>
      </c>
    </row>
    <row r="113" spans="1:14" x14ac:dyDescent="0.25">
      <c r="A113" t="s">
        <v>124</v>
      </c>
      <c r="B113" s="2">
        <v>45215</v>
      </c>
      <c r="C113" t="s">
        <v>616</v>
      </c>
      <c r="D113" t="s">
        <v>618</v>
      </c>
      <c r="E113" t="s">
        <v>622</v>
      </c>
      <c r="F113" t="s">
        <v>627</v>
      </c>
      <c r="G113" t="s">
        <v>632</v>
      </c>
      <c r="H113">
        <v>1</v>
      </c>
      <c r="I113" s="35">
        <v>489439</v>
      </c>
      <c r="J113" s="35">
        <v>489439</v>
      </c>
      <c r="K113" s="35">
        <v>307630.70240055519</v>
      </c>
      <c r="L113" s="35">
        <v>77942.535193744945</v>
      </c>
      <c r="M113" s="35">
        <v>411496.46480625513</v>
      </c>
      <c r="N113" s="35">
        <v>103865.76240569993</v>
      </c>
    </row>
    <row r="114" spans="1:14" x14ac:dyDescent="0.25">
      <c r="A114" t="s">
        <v>125</v>
      </c>
      <c r="B114" s="2">
        <v>45305</v>
      </c>
      <c r="C114" t="s">
        <v>616</v>
      </c>
      <c r="D114" t="s">
        <v>618</v>
      </c>
      <c r="E114" t="s">
        <v>623</v>
      </c>
      <c r="F114" t="s">
        <v>625</v>
      </c>
      <c r="G114" t="s">
        <v>631</v>
      </c>
      <c r="H114">
        <v>3</v>
      </c>
      <c r="I114" s="35">
        <v>75517</v>
      </c>
      <c r="J114" s="35">
        <v>226551</v>
      </c>
      <c r="K114" s="35">
        <v>162991.87662763119</v>
      </c>
      <c r="L114" s="35">
        <v>33304.138191298138</v>
      </c>
      <c r="M114" s="35">
        <v>193246.86180870191</v>
      </c>
      <c r="N114" s="35">
        <v>30254.985181070719</v>
      </c>
    </row>
    <row r="115" spans="1:14" x14ac:dyDescent="0.25">
      <c r="A115" t="s">
        <v>126</v>
      </c>
      <c r="B115" s="2">
        <v>45416</v>
      </c>
      <c r="C115" t="s">
        <v>615</v>
      </c>
      <c r="D115" t="s">
        <v>619</v>
      </c>
      <c r="E115" t="s">
        <v>622</v>
      </c>
      <c r="F115" t="s">
        <v>629</v>
      </c>
      <c r="G115" t="s">
        <v>633</v>
      </c>
      <c r="H115">
        <v>4</v>
      </c>
      <c r="I115" s="35">
        <v>465466</v>
      </c>
      <c r="J115" s="35">
        <v>1861864</v>
      </c>
      <c r="K115" s="35">
        <v>1391448.151295983</v>
      </c>
      <c r="L115" s="35">
        <v>227187.59523081439</v>
      </c>
      <c r="M115" s="35">
        <v>1634676.4047691859</v>
      </c>
      <c r="N115" s="35">
        <v>243228.25347320293</v>
      </c>
    </row>
    <row r="116" spans="1:14" x14ac:dyDescent="0.25">
      <c r="A116" t="s">
        <v>127</v>
      </c>
      <c r="B116" s="2">
        <v>45157</v>
      </c>
      <c r="C116" t="s">
        <v>615</v>
      </c>
      <c r="D116" t="s">
        <v>619</v>
      </c>
      <c r="E116" t="s">
        <v>622</v>
      </c>
      <c r="F116" t="s">
        <v>628</v>
      </c>
      <c r="G116" t="s">
        <v>633</v>
      </c>
      <c r="H116">
        <v>3</v>
      </c>
      <c r="I116" s="35">
        <v>265558</v>
      </c>
      <c r="J116" s="35">
        <v>796674</v>
      </c>
      <c r="K116" s="35">
        <v>433335.58748783759</v>
      </c>
      <c r="L116" s="35">
        <v>77783.692260113501</v>
      </c>
      <c r="M116" s="35">
        <v>718890.30773988646</v>
      </c>
      <c r="N116" s="35">
        <v>285554.72025204886</v>
      </c>
    </row>
    <row r="117" spans="1:14" x14ac:dyDescent="0.25">
      <c r="A117" t="s">
        <v>128</v>
      </c>
      <c r="B117" s="2">
        <v>44967</v>
      </c>
      <c r="C117" t="s">
        <v>613</v>
      </c>
      <c r="D117" t="s">
        <v>618</v>
      </c>
      <c r="E117" t="s">
        <v>621</v>
      </c>
      <c r="F117" t="s">
        <v>625</v>
      </c>
      <c r="G117" t="s">
        <v>631</v>
      </c>
      <c r="H117">
        <v>8</v>
      </c>
      <c r="I117" s="35">
        <v>401276</v>
      </c>
      <c r="J117" s="35">
        <v>3210208</v>
      </c>
      <c r="K117" s="35">
        <v>2407267.2909122328</v>
      </c>
      <c r="L117" s="35">
        <v>85508.465054977802</v>
      </c>
      <c r="M117" s="35">
        <v>3124699.5349450218</v>
      </c>
      <c r="N117" s="35">
        <v>717432.24403278902</v>
      </c>
    </row>
    <row r="118" spans="1:14" x14ac:dyDescent="0.25">
      <c r="A118" t="s">
        <v>129</v>
      </c>
      <c r="B118" s="2">
        <v>44954</v>
      </c>
      <c r="C118" t="s">
        <v>615</v>
      </c>
      <c r="D118" t="s">
        <v>618</v>
      </c>
      <c r="E118" t="s">
        <v>621</v>
      </c>
      <c r="F118" t="s">
        <v>628</v>
      </c>
      <c r="G118" t="s">
        <v>633</v>
      </c>
      <c r="H118">
        <v>1</v>
      </c>
      <c r="I118" s="35">
        <v>497415</v>
      </c>
      <c r="J118" s="35">
        <v>497415</v>
      </c>
      <c r="K118" s="35">
        <v>329332.97980814282</v>
      </c>
      <c r="L118" s="35">
        <v>25998.19261829164</v>
      </c>
      <c r="M118" s="35">
        <v>471416.80738170829</v>
      </c>
      <c r="N118" s="35">
        <v>142083.82757356548</v>
      </c>
    </row>
    <row r="119" spans="1:14" x14ac:dyDescent="0.25">
      <c r="A119" t="s">
        <v>130</v>
      </c>
      <c r="B119" s="2">
        <v>45061</v>
      </c>
      <c r="C119" t="s">
        <v>617</v>
      </c>
      <c r="D119" t="s">
        <v>618</v>
      </c>
      <c r="E119" t="s">
        <v>622</v>
      </c>
      <c r="F119" t="s">
        <v>630</v>
      </c>
      <c r="G119" t="s">
        <v>633</v>
      </c>
      <c r="H119">
        <v>2</v>
      </c>
      <c r="I119" s="35">
        <v>371690</v>
      </c>
      <c r="J119" s="35">
        <v>743380</v>
      </c>
      <c r="K119" s="35">
        <v>560062.32304984739</v>
      </c>
      <c r="L119" s="35">
        <v>62310.033235420568</v>
      </c>
      <c r="M119" s="35">
        <v>681069.96676457941</v>
      </c>
      <c r="N119" s="35">
        <v>121007.64371473202</v>
      </c>
    </row>
    <row r="120" spans="1:14" x14ac:dyDescent="0.25">
      <c r="A120" t="s">
        <v>131</v>
      </c>
      <c r="B120" s="2">
        <v>45127</v>
      </c>
      <c r="C120" t="s">
        <v>616</v>
      </c>
      <c r="D120" t="s">
        <v>619</v>
      </c>
      <c r="E120" t="s">
        <v>622</v>
      </c>
      <c r="F120" t="s">
        <v>626</v>
      </c>
      <c r="G120" t="s">
        <v>632</v>
      </c>
      <c r="H120">
        <v>7</v>
      </c>
      <c r="I120" s="35">
        <v>155686</v>
      </c>
      <c r="J120" s="35">
        <v>1089802</v>
      </c>
      <c r="K120" s="35">
        <v>685911.0386521552</v>
      </c>
      <c r="L120" s="35">
        <v>130623.5123156273</v>
      </c>
      <c r="M120" s="35">
        <v>959178.4876843727</v>
      </c>
      <c r="N120" s="35">
        <v>273267.4490322175</v>
      </c>
    </row>
    <row r="121" spans="1:14" x14ac:dyDescent="0.25">
      <c r="A121" t="s">
        <v>132</v>
      </c>
      <c r="B121" s="2">
        <v>44959</v>
      </c>
      <c r="C121" t="s">
        <v>613</v>
      </c>
      <c r="D121" t="s">
        <v>618</v>
      </c>
      <c r="E121" t="s">
        <v>623</v>
      </c>
      <c r="F121" t="s">
        <v>625</v>
      </c>
      <c r="G121" t="s">
        <v>632</v>
      </c>
      <c r="H121">
        <v>4</v>
      </c>
      <c r="I121" s="35">
        <v>138151</v>
      </c>
      <c r="J121" s="35">
        <v>552604</v>
      </c>
      <c r="K121" s="35">
        <v>339139.786515382</v>
      </c>
      <c r="L121" s="35">
        <v>56775.403124679673</v>
      </c>
      <c r="M121" s="35">
        <v>495828.59687532031</v>
      </c>
      <c r="N121" s="35">
        <v>156688.8103599383</v>
      </c>
    </row>
    <row r="122" spans="1:14" x14ac:dyDescent="0.25">
      <c r="A122" t="s">
        <v>133</v>
      </c>
      <c r="B122" s="2">
        <v>44974</v>
      </c>
      <c r="C122" t="s">
        <v>615</v>
      </c>
      <c r="D122" t="s">
        <v>619</v>
      </c>
      <c r="E122" t="s">
        <v>623</v>
      </c>
      <c r="F122" t="s">
        <v>630</v>
      </c>
      <c r="G122" t="s">
        <v>631</v>
      </c>
      <c r="H122">
        <v>8</v>
      </c>
      <c r="I122" s="35">
        <v>315471</v>
      </c>
      <c r="J122" s="35">
        <v>2523768</v>
      </c>
      <c r="K122" s="35">
        <v>1954704.298435058</v>
      </c>
      <c r="L122" s="35">
        <v>145462.176942366</v>
      </c>
      <c r="M122" s="35">
        <v>2378305.8230576338</v>
      </c>
      <c r="N122" s="35">
        <v>423601.52462257585</v>
      </c>
    </row>
    <row r="123" spans="1:14" x14ac:dyDescent="0.25">
      <c r="A123" t="s">
        <v>134</v>
      </c>
      <c r="B123" s="2">
        <v>45429</v>
      </c>
      <c r="C123" t="s">
        <v>617</v>
      </c>
      <c r="D123" t="s">
        <v>618</v>
      </c>
      <c r="E123" t="s">
        <v>621</v>
      </c>
      <c r="F123" t="s">
        <v>625</v>
      </c>
      <c r="G123" t="s">
        <v>631</v>
      </c>
      <c r="H123">
        <v>3</v>
      </c>
      <c r="I123" s="35">
        <v>170318</v>
      </c>
      <c r="J123" s="35">
        <v>510954</v>
      </c>
      <c r="K123" s="35">
        <v>293977.78257927782</v>
      </c>
      <c r="L123" s="35">
        <v>660.597894016753</v>
      </c>
      <c r="M123" s="35">
        <v>510293.40210598317</v>
      </c>
      <c r="N123" s="35">
        <v>216315.61952670536</v>
      </c>
    </row>
    <row r="124" spans="1:14" x14ac:dyDescent="0.25">
      <c r="A124" t="s">
        <v>135</v>
      </c>
      <c r="B124" s="2">
        <v>45333</v>
      </c>
      <c r="C124" t="s">
        <v>617</v>
      </c>
      <c r="D124" t="s">
        <v>618</v>
      </c>
      <c r="E124" t="s">
        <v>624</v>
      </c>
      <c r="F124" t="s">
        <v>625</v>
      </c>
      <c r="G124" t="s">
        <v>633</v>
      </c>
      <c r="H124">
        <v>6</v>
      </c>
      <c r="I124" s="35">
        <v>472984</v>
      </c>
      <c r="J124" s="35">
        <v>2837904</v>
      </c>
      <c r="K124" s="35">
        <v>2137690.0604336541</v>
      </c>
      <c r="L124" s="35">
        <v>281655.85455784149</v>
      </c>
      <c r="M124" s="35">
        <v>2556248.145442158</v>
      </c>
      <c r="N124" s="35">
        <v>418558.08500850387</v>
      </c>
    </row>
    <row r="125" spans="1:14" x14ac:dyDescent="0.25">
      <c r="A125" t="s">
        <v>136</v>
      </c>
      <c r="B125" s="2">
        <v>45500</v>
      </c>
      <c r="C125" t="s">
        <v>615</v>
      </c>
      <c r="D125" t="s">
        <v>619</v>
      </c>
      <c r="E125" t="s">
        <v>622</v>
      </c>
      <c r="F125" t="s">
        <v>630</v>
      </c>
      <c r="G125" t="s">
        <v>632</v>
      </c>
      <c r="H125">
        <v>9</v>
      </c>
      <c r="I125" s="35">
        <v>245490</v>
      </c>
      <c r="J125" s="35">
        <v>2209410</v>
      </c>
      <c r="K125" s="35">
        <v>1425524.967932401</v>
      </c>
      <c r="L125" s="35">
        <v>126212.98307786111</v>
      </c>
      <c r="M125" s="35">
        <v>2083197.0169221391</v>
      </c>
      <c r="N125" s="35">
        <v>657672.0489897381</v>
      </c>
    </row>
    <row r="126" spans="1:14" x14ac:dyDescent="0.25">
      <c r="A126" t="s">
        <v>137</v>
      </c>
      <c r="B126" s="2">
        <v>45654</v>
      </c>
      <c r="C126" t="s">
        <v>616</v>
      </c>
      <c r="D126" t="s">
        <v>618</v>
      </c>
      <c r="E126" t="s">
        <v>623</v>
      </c>
      <c r="F126" t="s">
        <v>629</v>
      </c>
      <c r="G126" t="s">
        <v>631</v>
      </c>
      <c r="H126">
        <v>1</v>
      </c>
      <c r="I126" s="35">
        <v>223860</v>
      </c>
      <c r="J126" s="35">
        <v>223860</v>
      </c>
      <c r="K126" s="35">
        <v>146455.6217308575</v>
      </c>
      <c r="L126" s="35">
        <v>32889.882839412079</v>
      </c>
      <c r="M126" s="35">
        <v>190970.11716058789</v>
      </c>
      <c r="N126" s="35">
        <v>44514.495429730392</v>
      </c>
    </row>
    <row r="127" spans="1:14" x14ac:dyDescent="0.25">
      <c r="A127" t="s">
        <v>138</v>
      </c>
      <c r="B127" s="2">
        <v>45025</v>
      </c>
      <c r="C127" t="s">
        <v>615</v>
      </c>
      <c r="D127" t="s">
        <v>619</v>
      </c>
      <c r="E127" t="s">
        <v>621</v>
      </c>
      <c r="F127" t="s">
        <v>627</v>
      </c>
      <c r="G127" t="s">
        <v>631</v>
      </c>
      <c r="H127">
        <v>1</v>
      </c>
      <c r="I127" s="35">
        <v>165945</v>
      </c>
      <c r="J127" s="35">
        <v>165945</v>
      </c>
      <c r="K127" s="35">
        <v>98329.13069153174</v>
      </c>
      <c r="L127" s="35">
        <v>794.75259806207669</v>
      </c>
      <c r="M127" s="35">
        <v>165150.2474019379</v>
      </c>
      <c r="N127" s="35">
        <v>66821.116710406161</v>
      </c>
    </row>
    <row r="128" spans="1:14" x14ac:dyDescent="0.25">
      <c r="A128" t="s">
        <v>139</v>
      </c>
      <c r="B128" s="2">
        <v>45610</v>
      </c>
      <c r="C128" t="s">
        <v>613</v>
      </c>
      <c r="D128" t="s">
        <v>619</v>
      </c>
      <c r="E128" t="s">
        <v>623</v>
      </c>
      <c r="F128" t="s">
        <v>628</v>
      </c>
      <c r="G128" t="s">
        <v>631</v>
      </c>
      <c r="H128">
        <v>8</v>
      </c>
      <c r="I128" s="35">
        <v>263456</v>
      </c>
      <c r="J128" s="35">
        <v>2107648</v>
      </c>
      <c r="K128" s="35">
        <v>1416155.3744150801</v>
      </c>
      <c r="L128" s="35">
        <v>246522.23336860549</v>
      </c>
      <c r="M128" s="35">
        <v>1861125.7666313951</v>
      </c>
      <c r="N128" s="35">
        <v>444970.39221631503</v>
      </c>
    </row>
    <row r="129" spans="1:14" x14ac:dyDescent="0.25">
      <c r="A129" t="s">
        <v>140</v>
      </c>
      <c r="B129" s="2">
        <v>45652</v>
      </c>
      <c r="C129" t="s">
        <v>615</v>
      </c>
      <c r="D129" t="s">
        <v>618</v>
      </c>
      <c r="E129" t="s">
        <v>622</v>
      </c>
      <c r="F129" t="s">
        <v>625</v>
      </c>
      <c r="G129" t="s">
        <v>631</v>
      </c>
      <c r="H129">
        <v>3</v>
      </c>
      <c r="I129" s="35">
        <v>358974</v>
      </c>
      <c r="J129" s="35">
        <v>1076922</v>
      </c>
      <c r="K129" s="35">
        <v>643529.12757485104</v>
      </c>
      <c r="L129" s="35">
        <v>202778.86376070141</v>
      </c>
      <c r="M129" s="35">
        <v>874143.13623929862</v>
      </c>
      <c r="N129" s="35">
        <v>230614.00866444758</v>
      </c>
    </row>
    <row r="130" spans="1:14" x14ac:dyDescent="0.25">
      <c r="A130" t="s">
        <v>141</v>
      </c>
      <c r="B130" s="2">
        <v>45473</v>
      </c>
      <c r="C130" t="s">
        <v>617</v>
      </c>
      <c r="D130" t="s">
        <v>619</v>
      </c>
      <c r="E130" t="s">
        <v>622</v>
      </c>
      <c r="F130" t="s">
        <v>628</v>
      </c>
      <c r="G130" t="s">
        <v>631</v>
      </c>
      <c r="H130">
        <v>5</v>
      </c>
      <c r="I130" s="35">
        <v>102446</v>
      </c>
      <c r="J130" s="35">
        <v>512230</v>
      </c>
      <c r="K130" s="35">
        <v>262149.49161710049</v>
      </c>
      <c r="L130" s="35">
        <v>17867.531778504679</v>
      </c>
      <c r="M130" s="35">
        <v>494362.46822149528</v>
      </c>
      <c r="N130" s="35">
        <v>232212.97660439479</v>
      </c>
    </row>
    <row r="131" spans="1:14" x14ac:dyDescent="0.25">
      <c r="A131" t="s">
        <v>142</v>
      </c>
      <c r="B131" s="2">
        <v>45539</v>
      </c>
      <c r="C131" t="s">
        <v>615</v>
      </c>
      <c r="D131" t="s">
        <v>619</v>
      </c>
      <c r="E131" t="s">
        <v>620</v>
      </c>
      <c r="F131" t="s">
        <v>626</v>
      </c>
      <c r="G131" t="s">
        <v>631</v>
      </c>
      <c r="H131">
        <v>1</v>
      </c>
      <c r="I131" s="35">
        <v>458376</v>
      </c>
      <c r="J131" s="35">
        <v>458376</v>
      </c>
      <c r="K131" s="35">
        <v>266591.28981699742</v>
      </c>
      <c r="L131" s="35">
        <v>43238.561394458993</v>
      </c>
      <c r="M131" s="35">
        <v>415137.43860554101</v>
      </c>
      <c r="N131" s="35">
        <v>148546.14878854359</v>
      </c>
    </row>
    <row r="132" spans="1:14" x14ac:dyDescent="0.25">
      <c r="A132" t="s">
        <v>143</v>
      </c>
      <c r="B132" s="2">
        <v>45388</v>
      </c>
      <c r="C132" t="s">
        <v>616</v>
      </c>
      <c r="D132" t="s">
        <v>618</v>
      </c>
      <c r="E132" t="s">
        <v>624</v>
      </c>
      <c r="F132" t="s">
        <v>630</v>
      </c>
      <c r="G132" t="s">
        <v>633</v>
      </c>
      <c r="H132">
        <v>5</v>
      </c>
      <c r="I132" s="35">
        <v>237655</v>
      </c>
      <c r="J132" s="35">
        <v>1188275</v>
      </c>
      <c r="K132" s="35">
        <v>596411.5173411899</v>
      </c>
      <c r="L132" s="35">
        <v>21726.893465301979</v>
      </c>
      <c r="M132" s="35">
        <v>1166548.106534698</v>
      </c>
      <c r="N132" s="35">
        <v>570136.58919350815</v>
      </c>
    </row>
    <row r="133" spans="1:14" x14ac:dyDescent="0.25">
      <c r="A133" t="s">
        <v>144</v>
      </c>
      <c r="B133" s="2">
        <v>45569</v>
      </c>
      <c r="C133" t="s">
        <v>614</v>
      </c>
      <c r="D133" t="s">
        <v>619</v>
      </c>
      <c r="E133" t="s">
        <v>620</v>
      </c>
      <c r="F133" t="s">
        <v>628</v>
      </c>
      <c r="G133" t="s">
        <v>632</v>
      </c>
      <c r="H133">
        <v>6</v>
      </c>
      <c r="I133" s="35">
        <v>477214</v>
      </c>
      <c r="J133" s="35">
        <v>2863284</v>
      </c>
      <c r="K133" s="35">
        <v>2272034.282430992</v>
      </c>
      <c r="L133" s="35">
        <v>358301.00169346691</v>
      </c>
      <c r="M133" s="35">
        <v>2504982.9983065329</v>
      </c>
      <c r="N133" s="35">
        <v>232948.71587554086</v>
      </c>
    </row>
    <row r="134" spans="1:14" x14ac:dyDescent="0.25">
      <c r="A134" t="s">
        <v>145</v>
      </c>
      <c r="B134" s="2">
        <v>44931</v>
      </c>
      <c r="C134" t="s">
        <v>615</v>
      </c>
      <c r="D134" t="s">
        <v>619</v>
      </c>
      <c r="E134" t="s">
        <v>621</v>
      </c>
      <c r="F134" t="s">
        <v>630</v>
      </c>
      <c r="G134" t="s">
        <v>632</v>
      </c>
      <c r="H134">
        <v>8</v>
      </c>
      <c r="I134" s="35">
        <v>470446</v>
      </c>
      <c r="J134" s="35">
        <v>3763568</v>
      </c>
      <c r="K134" s="35">
        <v>2972180.588490067</v>
      </c>
      <c r="L134" s="35">
        <v>414392.68321563507</v>
      </c>
      <c r="M134" s="35">
        <v>3349175.3167843651</v>
      </c>
      <c r="N134" s="35">
        <v>376994.72829429805</v>
      </c>
    </row>
    <row r="135" spans="1:14" x14ac:dyDescent="0.25">
      <c r="A135" t="s">
        <v>146</v>
      </c>
      <c r="B135" s="2">
        <v>45144</v>
      </c>
      <c r="C135" t="s">
        <v>616</v>
      </c>
      <c r="D135" t="s">
        <v>619</v>
      </c>
      <c r="E135" t="s">
        <v>623</v>
      </c>
      <c r="F135" t="s">
        <v>628</v>
      </c>
      <c r="G135" t="s">
        <v>631</v>
      </c>
      <c r="H135">
        <v>3</v>
      </c>
      <c r="I135" s="35">
        <v>190148</v>
      </c>
      <c r="J135" s="35">
        <v>570444</v>
      </c>
      <c r="K135" s="35">
        <v>352846.19055338751</v>
      </c>
      <c r="L135" s="35">
        <v>46475.843818812988</v>
      </c>
      <c r="M135" s="35">
        <v>523968.15618118702</v>
      </c>
      <c r="N135" s="35">
        <v>171121.96562779951</v>
      </c>
    </row>
    <row r="136" spans="1:14" x14ac:dyDescent="0.25">
      <c r="A136" t="s">
        <v>147</v>
      </c>
      <c r="B136" s="2">
        <v>45429</v>
      </c>
      <c r="C136" t="s">
        <v>616</v>
      </c>
      <c r="D136" t="s">
        <v>618</v>
      </c>
      <c r="E136" t="s">
        <v>621</v>
      </c>
      <c r="F136" t="s">
        <v>627</v>
      </c>
      <c r="G136" t="s">
        <v>632</v>
      </c>
      <c r="H136">
        <v>3</v>
      </c>
      <c r="I136" s="35">
        <v>119341</v>
      </c>
      <c r="J136" s="35">
        <v>358023</v>
      </c>
      <c r="K136" s="35">
        <v>257243.55551497289</v>
      </c>
      <c r="L136" s="35">
        <v>37332.993071818652</v>
      </c>
      <c r="M136" s="35">
        <v>320690.00692818128</v>
      </c>
      <c r="N136" s="35">
        <v>63446.451413208386</v>
      </c>
    </row>
    <row r="137" spans="1:14" x14ac:dyDescent="0.25">
      <c r="A137" t="s">
        <v>148</v>
      </c>
      <c r="B137" s="2">
        <v>45324</v>
      </c>
      <c r="C137" t="s">
        <v>617</v>
      </c>
      <c r="D137" t="s">
        <v>619</v>
      </c>
      <c r="E137" t="s">
        <v>622</v>
      </c>
      <c r="F137" t="s">
        <v>627</v>
      </c>
      <c r="G137" t="s">
        <v>632</v>
      </c>
      <c r="H137">
        <v>9</v>
      </c>
      <c r="I137" s="35">
        <v>81085</v>
      </c>
      <c r="J137" s="35">
        <v>729765</v>
      </c>
      <c r="K137" s="35">
        <v>440589.65622194507</v>
      </c>
      <c r="L137" s="35">
        <v>130857.7611275275</v>
      </c>
      <c r="M137" s="35">
        <v>598907.23887247255</v>
      </c>
      <c r="N137" s="35">
        <v>158317.58265052747</v>
      </c>
    </row>
    <row r="138" spans="1:14" x14ac:dyDescent="0.25">
      <c r="A138" t="s">
        <v>149</v>
      </c>
      <c r="B138" s="2">
        <v>45319</v>
      </c>
      <c r="C138" t="s">
        <v>616</v>
      </c>
      <c r="D138" t="s">
        <v>618</v>
      </c>
      <c r="E138" t="s">
        <v>620</v>
      </c>
      <c r="F138" t="s">
        <v>627</v>
      </c>
      <c r="G138" t="s">
        <v>632</v>
      </c>
      <c r="H138">
        <v>4</v>
      </c>
      <c r="I138" s="35">
        <v>367715</v>
      </c>
      <c r="J138" s="35">
        <v>1470860</v>
      </c>
      <c r="K138" s="35">
        <v>1031555.224309444</v>
      </c>
      <c r="L138" s="35">
        <v>57744.287499451217</v>
      </c>
      <c r="M138" s="35">
        <v>1413115.7125005489</v>
      </c>
      <c r="N138" s="35">
        <v>381560.48819110496</v>
      </c>
    </row>
    <row r="139" spans="1:14" x14ac:dyDescent="0.25">
      <c r="A139" t="s">
        <v>150</v>
      </c>
      <c r="B139" s="2">
        <v>45133</v>
      </c>
      <c r="C139" t="s">
        <v>616</v>
      </c>
      <c r="D139" t="s">
        <v>618</v>
      </c>
      <c r="E139" t="s">
        <v>620</v>
      </c>
      <c r="F139" t="s">
        <v>627</v>
      </c>
      <c r="G139" t="s">
        <v>631</v>
      </c>
      <c r="H139">
        <v>4</v>
      </c>
      <c r="I139" s="35">
        <v>457931</v>
      </c>
      <c r="J139" s="35">
        <v>1831724</v>
      </c>
      <c r="K139" s="35">
        <v>1358459.6620505061</v>
      </c>
      <c r="L139" s="35">
        <v>8266.3915277930919</v>
      </c>
      <c r="M139" s="35">
        <v>1823457.6084722071</v>
      </c>
      <c r="N139" s="35">
        <v>464997.946421701</v>
      </c>
    </row>
    <row r="140" spans="1:14" x14ac:dyDescent="0.25">
      <c r="A140" t="s">
        <v>151</v>
      </c>
      <c r="B140" s="2">
        <v>44941</v>
      </c>
      <c r="C140" t="s">
        <v>616</v>
      </c>
      <c r="D140" t="s">
        <v>619</v>
      </c>
      <c r="E140" t="s">
        <v>620</v>
      </c>
      <c r="F140" t="s">
        <v>627</v>
      </c>
      <c r="G140" t="s">
        <v>631</v>
      </c>
      <c r="H140">
        <v>7</v>
      </c>
      <c r="I140" s="35">
        <v>440452</v>
      </c>
      <c r="J140" s="35">
        <v>3083164</v>
      </c>
      <c r="K140" s="35">
        <v>2417283.4311230928</v>
      </c>
      <c r="L140" s="35">
        <v>531330.83051368373</v>
      </c>
      <c r="M140" s="35">
        <v>2551833.1694863159</v>
      </c>
      <c r="N140" s="35">
        <v>134549.73836322315</v>
      </c>
    </row>
    <row r="141" spans="1:14" x14ac:dyDescent="0.25">
      <c r="A141" t="s">
        <v>152</v>
      </c>
      <c r="B141" s="2">
        <v>45480</v>
      </c>
      <c r="C141" t="s">
        <v>616</v>
      </c>
      <c r="D141" t="s">
        <v>619</v>
      </c>
      <c r="E141" t="s">
        <v>621</v>
      </c>
      <c r="F141" t="s">
        <v>627</v>
      </c>
      <c r="G141" t="s">
        <v>632</v>
      </c>
      <c r="H141">
        <v>2</v>
      </c>
      <c r="I141" s="35">
        <v>55750</v>
      </c>
      <c r="J141" s="35">
        <v>111500</v>
      </c>
      <c r="K141" s="35">
        <v>69137.100627171531</v>
      </c>
      <c r="L141" s="35">
        <v>12869.71093725032</v>
      </c>
      <c r="M141" s="35">
        <v>98630.289062749682</v>
      </c>
      <c r="N141" s="35">
        <v>29493.188435578151</v>
      </c>
    </row>
    <row r="142" spans="1:14" x14ac:dyDescent="0.25">
      <c r="A142" t="s">
        <v>153</v>
      </c>
      <c r="B142" s="2">
        <v>45387</v>
      </c>
      <c r="C142" t="s">
        <v>613</v>
      </c>
      <c r="D142" t="s">
        <v>619</v>
      </c>
      <c r="E142" t="s">
        <v>622</v>
      </c>
      <c r="F142" t="s">
        <v>630</v>
      </c>
      <c r="G142" t="s">
        <v>632</v>
      </c>
      <c r="H142">
        <v>8</v>
      </c>
      <c r="I142" s="35">
        <v>426075</v>
      </c>
      <c r="J142" s="35">
        <v>3408600</v>
      </c>
      <c r="K142" s="35">
        <v>2505284.851411195</v>
      </c>
      <c r="L142" s="35">
        <v>607179.68225744716</v>
      </c>
      <c r="M142" s="35">
        <v>2801420.3177425531</v>
      </c>
      <c r="N142" s="35">
        <v>296135.46633135807</v>
      </c>
    </row>
    <row r="143" spans="1:14" x14ac:dyDescent="0.25">
      <c r="A143" t="s">
        <v>154</v>
      </c>
      <c r="B143" s="2">
        <v>45617</v>
      </c>
      <c r="C143" t="s">
        <v>613</v>
      </c>
      <c r="D143" t="s">
        <v>618</v>
      </c>
      <c r="E143" t="s">
        <v>623</v>
      </c>
      <c r="F143" t="s">
        <v>625</v>
      </c>
      <c r="G143" t="s">
        <v>631</v>
      </c>
      <c r="H143">
        <v>6</v>
      </c>
      <c r="I143" s="35">
        <v>390912</v>
      </c>
      <c r="J143" s="35">
        <v>2345472</v>
      </c>
      <c r="K143" s="35">
        <v>1359854.3204883051</v>
      </c>
      <c r="L143" s="35">
        <v>280023.66140986822</v>
      </c>
      <c r="M143" s="35">
        <v>2065448.3385901321</v>
      </c>
      <c r="N143" s="35">
        <v>705594.01810182701</v>
      </c>
    </row>
    <row r="144" spans="1:14" x14ac:dyDescent="0.25">
      <c r="A144" t="s">
        <v>155</v>
      </c>
      <c r="B144" s="2">
        <v>45501</v>
      </c>
      <c r="C144" t="s">
        <v>617</v>
      </c>
      <c r="D144" t="s">
        <v>619</v>
      </c>
      <c r="E144" t="s">
        <v>623</v>
      </c>
      <c r="F144" t="s">
        <v>628</v>
      </c>
      <c r="G144" t="s">
        <v>633</v>
      </c>
      <c r="H144">
        <v>3</v>
      </c>
      <c r="I144" s="35">
        <v>85903</v>
      </c>
      <c r="J144" s="35">
        <v>257709</v>
      </c>
      <c r="K144" s="35">
        <v>205419.7643035072</v>
      </c>
      <c r="L144" s="35">
        <v>41757.160866484999</v>
      </c>
      <c r="M144" s="35">
        <v>215951.83913351499</v>
      </c>
      <c r="N144" s="35">
        <v>10532.074830007798</v>
      </c>
    </row>
    <row r="145" spans="1:14" x14ac:dyDescent="0.25">
      <c r="A145" t="s">
        <v>156</v>
      </c>
      <c r="B145" s="2">
        <v>45167</v>
      </c>
      <c r="C145" t="s">
        <v>615</v>
      </c>
      <c r="D145" t="s">
        <v>619</v>
      </c>
      <c r="E145" t="s">
        <v>621</v>
      </c>
      <c r="F145" t="s">
        <v>627</v>
      </c>
      <c r="G145" t="s">
        <v>632</v>
      </c>
      <c r="H145">
        <v>9</v>
      </c>
      <c r="I145" s="35">
        <v>253561</v>
      </c>
      <c r="J145" s="35">
        <v>2282049</v>
      </c>
      <c r="K145" s="35">
        <v>1158666.746127177</v>
      </c>
      <c r="L145" s="35">
        <v>196107.13383425039</v>
      </c>
      <c r="M145" s="35">
        <v>2085941.866165749</v>
      </c>
      <c r="N145" s="35">
        <v>927275.120038572</v>
      </c>
    </row>
    <row r="146" spans="1:14" x14ac:dyDescent="0.25">
      <c r="A146" t="s">
        <v>157</v>
      </c>
      <c r="B146" s="2">
        <v>45490</v>
      </c>
      <c r="C146" t="s">
        <v>616</v>
      </c>
      <c r="D146" t="s">
        <v>619</v>
      </c>
      <c r="E146" t="s">
        <v>620</v>
      </c>
      <c r="F146" t="s">
        <v>630</v>
      </c>
      <c r="G146" t="s">
        <v>633</v>
      </c>
      <c r="H146">
        <v>5</v>
      </c>
      <c r="I146" s="35">
        <v>475309</v>
      </c>
      <c r="J146" s="35">
        <v>2376545</v>
      </c>
      <c r="K146" s="35">
        <v>1618566.5102338621</v>
      </c>
      <c r="L146" s="35">
        <v>356415.17408069578</v>
      </c>
      <c r="M146" s="35">
        <v>2020129.825919304</v>
      </c>
      <c r="N146" s="35">
        <v>401563.31568544195</v>
      </c>
    </row>
    <row r="147" spans="1:14" x14ac:dyDescent="0.25">
      <c r="A147" t="s">
        <v>158</v>
      </c>
      <c r="B147" s="2">
        <v>45022</v>
      </c>
      <c r="C147" t="s">
        <v>615</v>
      </c>
      <c r="D147" t="s">
        <v>619</v>
      </c>
      <c r="E147" t="s">
        <v>624</v>
      </c>
      <c r="F147" t="s">
        <v>630</v>
      </c>
      <c r="G147" t="s">
        <v>632</v>
      </c>
      <c r="H147">
        <v>8</v>
      </c>
      <c r="I147" s="35">
        <v>141036</v>
      </c>
      <c r="J147" s="35">
        <v>1128288</v>
      </c>
      <c r="K147" s="35">
        <v>787377.80550762382</v>
      </c>
      <c r="L147" s="35">
        <v>206034.7461188444</v>
      </c>
      <c r="M147" s="35">
        <v>922253.25388115563</v>
      </c>
      <c r="N147" s="35">
        <v>134875.44837353181</v>
      </c>
    </row>
    <row r="148" spans="1:14" x14ac:dyDescent="0.25">
      <c r="A148" t="s">
        <v>159</v>
      </c>
      <c r="B148" s="2">
        <v>45411</v>
      </c>
      <c r="C148" t="s">
        <v>615</v>
      </c>
      <c r="D148" t="s">
        <v>619</v>
      </c>
      <c r="E148" t="s">
        <v>621</v>
      </c>
      <c r="F148" t="s">
        <v>630</v>
      </c>
      <c r="G148" t="s">
        <v>633</v>
      </c>
      <c r="H148">
        <v>7</v>
      </c>
      <c r="I148" s="35">
        <v>137954</v>
      </c>
      <c r="J148" s="35">
        <v>965678</v>
      </c>
      <c r="K148" s="35">
        <v>682168.13723926921</v>
      </c>
      <c r="L148" s="35">
        <v>110497.3118722666</v>
      </c>
      <c r="M148" s="35">
        <v>855180.68812773342</v>
      </c>
      <c r="N148" s="35">
        <v>173012.5508884642</v>
      </c>
    </row>
    <row r="149" spans="1:14" x14ac:dyDescent="0.25">
      <c r="A149" t="s">
        <v>160</v>
      </c>
      <c r="B149" s="2">
        <v>45333</v>
      </c>
      <c r="C149" t="s">
        <v>617</v>
      </c>
      <c r="D149" t="s">
        <v>618</v>
      </c>
      <c r="E149" t="s">
        <v>621</v>
      </c>
      <c r="F149" t="s">
        <v>625</v>
      </c>
      <c r="G149" t="s">
        <v>633</v>
      </c>
      <c r="H149">
        <v>8</v>
      </c>
      <c r="I149" s="35">
        <v>477530</v>
      </c>
      <c r="J149" s="35">
        <v>3820240</v>
      </c>
      <c r="K149" s="35">
        <v>2048092.833197969</v>
      </c>
      <c r="L149" s="35">
        <v>138128.53271688501</v>
      </c>
      <c r="M149" s="35">
        <v>3682111.4672831148</v>
      </c>
      <c r="N149" s="35">
        <v>1634018.6340851458</v>
      </c>
    </row>
    <row r="150" spans="1:14" x14ac:dyDescent="0.25">
      <c r="A150" t="s">
        <v>161</v>
      </c>
      <c r="B150" s="2">
        <v>45157</v>
      </c>
      <c r="C150" t="s">
        <v>616</v>
      </c>
      <c r="D150" t="s">
        <v>618</v>
      </c>
      <c r="E150" t="s">
        <v>622</v>
      </c>
      <c r="F150" t="s">
        <v>628</v>
      </c>
      <c r="G150" t="s">
        <v>633</v>
      </c>
      <c r="H150">
        <v>7</v>
      </c>
      <c r="I150" s="35">
        <v>491441</v>
      </c>
      <c r="J150" s="35">
        <v>3440087</v>
      </c>
      <c r="K150" s="35">
        <v>2688630.7321716188</v>
      </c>
      <c r="L150" s="35">
        <v>184937.43621927791</v>
      </c>
      <c r="M150" s="35">
        <v>3255149.5637807222</v>
      </c>
      <c r="N150" s="35">
        <v>566518.83160910336</v>
      </c>
    </row>
    <row r="151" spans="1:14" x14ac:dyDescent="0.25">
      <c r="A151" t="s">
        <v>162</v>
      </c>
      <c r="B151" s="2">
        <v>45581</v>
      </c>
      <c r="C151" t="s">
        <v>616</v>
      </c>
      <c r="D151" t="s">
        <v>619</v>
      </c>
      <c r="E151" t="s">
        <v>623</v>
      </c>
      <c r="F151" t="s">
        <v>625</v>
      </c>
      <c r="G151" t="s">
        <v>631</v>
      </c>
      <c r="H151">
        <v>3</v>
      </c>
      <c r="I151" s="35">
        <v>395158</v>
      </c>
      <c r="J151" s="35">
        <v>1185474</v>
      </c>
      <c r="K151" s="35">
        <v>657173.41996458545</v>
      </c>
      <c r="L151" s="35">
        <v>47097.596230575044</v>
      </c>
      <c r="M151" s="35">
        <v>1138376.4037694249</v>
      </c>
      <c r="N151" s="35">
        <v>481202.98380483943</v>
      </c>
    </row>
    <row r="152" spans="1:14" x14ac:dyDescent="0.25">
      <c r="A152" t="s">
        <v>163</v>
      </c>
      <c r="B152" s="2">
        <v>45097</v>
      </c>
      <c r="C152" t="s">
        <v>614</v>
      </c>
      <c r="D152" t="s">
        <v>619</v>
      </c>
      <c r="E152" t="s">
        <v>621</v>
      </c>
      <c r="F152" t="s">
        <v>629</v>
      </c>
      <c r="G152" t="s">
        <v>633</v>
      </c>
      <c r="H152">
        <v>2</v>
      </c>
      <c r="I152" s="35">
        <v>478395</v>
      </c>
      <c r="J152" s="35">
        <v>956790</v>
      </c>
      <c r="K152" s="35">
        <v>657148.26860575425</v>
      </c>
      <c r="L152" s="35">
        <v>47238.067086664261</v>
      </c>
      <c r="M152" s="35">
        <v>909551.93291333574</v>
      </c>
      <c r="N152" s="35">
        <v>252403.66430758149</v>
      </c>
    </row>
    <row r="153" spans="1:14" x14ac:dyDescent="0.25">
      <c r="A153" t="s">
        <v>164</v>
      </c>
      <c r="B153" s="2">
        <v>45467</v>
      </c>
      <c r="C153" t="s">
        <v>615</v>
      </c>
      <c r="D153" t="s">
        <v>619</v>
      </c>
      <c r="E153" t="s">
        <v>621</v>
      </c>
      <c r="F153" t="s">
        <v>630</v>
      </c>
      <c r="G153" t="s">
        <v>633</v>
      </c>
      <c r="H153">
        <v>7</v>
      </c>
      <c r="I153" s="35">
        <v>167305</v>
      </c>
      <c r="J153" s="35">
        <v>1171135</v>
      </c>
      <c r="K153" s="35">
        <v>663802.62497714418</v>
      </c>
      <c r="L153" s="35">
        <v>71770.771455145208</v>
      </c>
      <c r="M153" s="35">
        <v>1099364.228544855</v>
      </c>
      <c r="N153" s="35">
        <v>435561.60356771084</v>
      </c>
    </row>
    <row r="154" spans="1:14" x14ac:dyDescent="0.25">
      <c r="A154" t="s">
        <v>165</v>
      </c>
      <c r="B154" s="2">
        <v>44962</v>
      </c>
      <c r="C154" t="s">
        <v>615</v>
      </c>
      <c r="D154" t="s">
        <v>619</v>
      </c>
      <c r="E154" t="s">
        <v>620</v>
      </c>
      <c r="F154" t="s">
        <v>629</v>
      </c>
      <c r="G154" t="s">
        <v>633</v>
      </c>
      <c r="H154">
        <v>3</v>
      </c>
      <c r="I154" s="35">
        <v>468554</v>
      </c>
      <c r="J154" s="35">
        <v>1405662</v>
      </c>
      <c r="K154" s="35">
        <v>832383.73295488616</v>
      </c>
      <c r="L154" s="35">
        <v>156066.0937910121</v>
      </c>
      <c r="M154" s="35">
        <v>1249595.906208988</v>
      </c>
      <c r="N154" s="35">
        <v>417212.17325410189</v>
      </c>
    </row>
    <row r="155" spans="1:14" x14ac:dyDescent="0.25">
      <c r="A155" t="s">
        <v>166</v>
      </c>
      <c r="B155" s="2">
        <v>45451</v>
      </c>
      <c r="C155" t="s">
        <v>613</v>
      </c>
      <c r="D155" t="s">
        <v>618</v>
      </c>
      <c r="E155" t="s">
        <v>620</v>
      </c>
      <c r="F155" t="s">
        <v>626</v>
      </c>
      <c r="G155" t="s">
        <v>632</v>
      </c>
      <c r="H155">
        <v>3</v>
      </c>
      <c r="I155" s="35">
        <v>250753</v>
      </c>
      <c r="J155" s="35">
        <v>752259</v>
      </c>
      <c r="K155" s="35">
        <v>499453.00684255722</v>
      </c>
      <c r="L155" s="35">
        <v>88464.399037766678</v>
      </c>
      <c r="M155" s="35">
        <v>663794.60096223326</v>
      </c>
      <c r="N155" s="35">
        <v>164341.59411967604</v>
      </c>
    </row>
    <row r="156" spans="1:14" x14ac:dyDescent="0.25">
      <c r="A156" t="s">
        <v>167</v>
      </c>
      <c r="B156" s="2">
        <v>45086</v>
      </c>
      <c r="C156" t="s">
        <v>614</v>
      </c>
      <c r="D156" t="s">
        <v>619</v>
      </c>
      <c r="E156" t="s">
        <v>624</v>
      </c>
      <c r="F156" t="s">
        <v>627</v>
      </c>
      <c r="G156" t="s">
        <v>633</v>
      </c>
      <c r="H156">
        <v>2</v>
      </c>
      <c r="I156" s="35">
        <v>82101</v>
      </c>
      <c r="J156" s="35">
        <v>164202</v>
      </c>
      <c r="K156" s="35">
        <v>102652.1981145422</v>
      </c>
      <c r="L156" s="35">
        <v>14006.422299321621</v>
      </c>
      <c r="M156" s="35">
        <v>150195.5777006784</v>
      </c>
      <c r="N156" s="35">
        <v>47543.379586136201</v>
      </c>
    </row>
    <row r="157" spans="1:14" x14ac:dyDescent="0.25">
      <c r="A157" t="s">
        <v>168</v>
      </c>
      <c r="B157" s="2">
        <v>45625</v>
      </c>
      <c r="C157" t="s">
        <v>613</v>
      </c>
      <c r="D157" t="s">
        <v>618</v>
      </c>
      <c r="E157" t="s">
        <v>622</v>
      </c>
      <c r="F157" t="s">
        <v>627</v>
      </c>
      <c r="G157" t="s">
        <v>632</v>
      </c>
      <c r="H157">
        <v>4</v>
      </c>
      <c r="I157" s="35">
        <v>52775</v>
      </c>
      <c r="J157" s="35">
        <v>211100</v>
      </c>
      <c r="K157" s="35">
        <v>115697.0873098422</v>
      </c>
      <c r="L157" s="35">
        <v>25983.06532403567</v>
      </c>
      <c r="M157" s="35">
        <v>185116.93467596429</v>
      </c>
      <c r="N157" s="35">
        <v>69419.847366122092</v>
      </c>
    </row>
    <row r="158" spans="1:14" x14ac:dyDescent="0.25">
      <c r="A158" t="s">
        <v>169</v>
      </c>
      <c r="B158" s="2">
        <v>45169</v>
      </c>
      <c r="C158" t="s">
        <v>613</v>
      </c>
      <c r="D158" t="s">
        <v>618</v>
      </c>
      <c r="E158" t="s">
        <v>624</v>
      </c>
      <c r="F158" t="s">
        <v>625</v>
      </c>
      <c r="G158" t="s">
        <v>633</v>
      </c>
      <c r="H158">
        <v>8</v>
      </c>
      <c r="I158" s="35">
        <v>161497</v>
      </c>
      <c r="J158" s="35">
        <v>1291976</v>
      </c>
      <c r="K158" s="35">
        <v>712241.71883622336</v>
      </c>
      <c r="L158" s="35">
        <v>21078.569218334022</v>
      </c>
      <c r="M158" s="35">
        <v>1270897.430781666</v>
      </c>
      <c r="N158" s="35">
        <v>558655.7119454426</v>
      </c>
    </row>
    <row r="159" spans="1:14" x14ac:dyDescent="0.25">
      <c r="A159" t="s">
        <v>170</v>
      </c>
      <c r="B159" s="2">
        <v>45012</v>
      </c>
      <c r="C159" t="s">
        <v>613</v>
      </c>
      <c r="D159" t="s">
        <v>619</v>
      </c>
      <c r="E159" t="s">
        <v>620</v>
      </c>
      <c r="F159" t="s">
        <v>628</v>
      </c>
      <c r="G159" t="s">
        <v>633</v>
      </c>
      <c r="H159">
        <v>1</v>
      </c>
      <c r="I159" s="35">
        <v>95619</v>
      </c>
      <c r="J159" s="35">
        <v>95619</v>
      </c>
      <c r="K159" s="35">
        <v>59804.275949801617</v>
      </c>
      <c r="L159" s="35">
        <v>1678.84468785284</v>
      </c>
      <c r="M159" s="35">
        <v>93940.155312147166</v>
      </c>
      <c r="N159" s="35">
        <v>34135.879362345549</v>
      </c>
    </row>
    <row r="160" spans="1:14" x14ac:dyDescent="0.25">
      <c r="A160" t="s">
        <v>171</v>
      </c>
      <c r="B160" s="2">
        <v>45504</v>
      </c>
      <c r="C160" t="s">
        <v>617</v>
      </c>
      <c r="D160" t="s">
        <v>618</v>
      </c>
      <c r="E160" t="s">
        <v>623</v>
      </c>
      <c r="F160" t="s">
        <v>629</v>
      </c>
      <c r="G160" t="s">
        <v>631</v>
      </c>
      <c r="H160">
        <v>1</v>
      </c>
      <c r="I160" s="35">
        <v>489054</v>
      </c>
      <c r="J160" s="35">
        <v>489054</v>
      </c>
      <c r="K160" s="35">
        <v>355632.68089726398</v>
      </c>
      <c r="L160" s="35">
        <v>16806.776981150859</v>
      </c>
      <c r="M160" s="35">
        <v>472247.22301884921</v>
      </c>
      <c r="N160" s="35">
        <v>116614.54212158523</v>
      </c>
    </row>
    <row r="161" spans="1:14" x14ac:dyDescent="0.25">
      <c r="A161" t="s">
        <v>172</v>
      </c>
      <c r="B161" s="2">
        <v>45608</v>
      </c>
      <c r="C161" t="s">
        <v>617</v>
      </c>
      <c r="D161" t="s">
        <v>618</v>
      </c>
      <c r="E161" t="s">
        <v>620</v>
      </c>
      <c r="F161" t="s">
        <v>628</v>
      </c>
      <c r="G161" t="s">
        <v>632</v>
      </c>
      <c r="H161">
        <v>5</v>
      </c>
      <c r="I161" s="35">
        <v>302388</v>
      </c>
      <c r="J161" s="35">
        <v>1511940</v>
      </c>
      <c r="K161" s="35">
        <v>1163270.6004465141</v>
      </c>
      <c r="L161" s="35">
        <v>156660.41847742381</v>
      </c>
      <c r="M161" s="35">
        <v>1355279.581522576</v>
      </c>
      <c r="N161" s="35">
        <v>192008.98107606196</v>
      </c>
    </row>
    <row r="162" spans="1:14" x14ac:dyDescent="0.25">
      <c r="A162" t="s">
        <v>173</v>
      </c>
      <c r="B162" s="2">
        <v>45483</v>
      </c>
      <c r="C162" t="s">
        <v>613</v>
      </c>
      <c r="D162" t="s">
        <v>618</v>
      </c>
      <c r="E162" t="s">
        <v>622</v>
      </c>
      <c r="F162" t="s">
        <v>625</v>
      </c>
      <c r="G162" t="s">
        <v>633</v>
      </c>
      <c r="H162">
        <v>5</v>
      </c>
      <c r="I162" s="35">
        <v>462755</v>
      </c>
      <c r="J162" s="35">
        <v>2313775</v>
      </c>
      <c r="K162" s="35">
        <v>1215283.244523261</v>
      </c>
      <c r="L162" s="35">
        <v>99027.107541038102</v>
      </c>
      <c r="M162" s="35">
        <v>2214747.8924589618</v>
      </c>
      <c r="N162" s="35">
        <v>999464.64793570084</v>
      </c>
    </row>
    <row r="163" spans="1:14" x14ac:dyDescent="0.25">
      <c r="A163" t="s">
        <v>174</v>
      </c>
      <c r="B163" s="2">
        <v>45500</v>
      </c>
      <c r="C163" t="s">
        <v>614</v>
      </c>
      <c r="D163" t="s">
        <v>618</v>
      </c>
      <c r="E163" t="s">
        <v>620</v>
      </c>
      <c r="F163" t="s">
        <v>627</v>
      </c>
      <c r="G163" t="s">
        <v>632</v>
      </c>
      <c r="H163">
        <v>1</v>
      </c>
      <c r="I163" s="35">
        <v>283346</v>
      </c>
      <c r="J163" s="35">
        <v>283346</v>
      </c>
      <c r="K163" s="35">
        <v>175088.32593739781</v>
      </c>
      <c r="L163" s="35">
        <v>16053.500518401561</v>
      </c>
      <c r="M163" s="35">
        <v>267292.49948159838</v>
      </c>
      <c r="N163" s="35">
        <v>92204.173544200574</v>
      </c>
    </row>
    <row r="164" spans="1:14" x14ac:dyDescent="0.25">
      <c r="A164" t="s">
        <v>175</v>
      </c>
      <c r="B164" s="2">
        <v>45572</v>
      </c>
      <c r="C164" t="s">
        <v>615</v>
      </c>
      <c r="D164" t="s">
        <v>619</v>
      </c>
      <c r="E164" t="s">
        <v>622</v>
      </c>
      <c r="F164" t="s">
        <v>628</v>
      </c>
      <c r="G164" t="s">
        <v>632</v>
      </c>
      <c r="H164">
        <v>6</v>
      </c>
      <c r="I164" s="35">
        <v>369268</v>
      </c>
      <c r="J164" s="35">
        <v>2215608</v>
      </c>
      <c r="K164" s="35">
        <v>1174435.4618846751</v>
      </c>
      <c r="L164" s="35">
        <v>177387.26446551501</v>
      </c>
      <c r="M164" s="35">
        <v>2038220.735534485</v>
      </c>
      <c r="N164" s="35">
        <v>863785.27364980988</v>
      </c>
    </row>
    <row r="165" spans="1:14" x14ac:dyDescent="0.25">
      <c r="A165" t="s">
        <v>176</v>
      </c>
      <c r="B165" s="2">
        <v>44954</v>
      </c>
      <c r="C165" t="s">
        <v>614</v>
      </c>
      <c r="D165" t="s">
        <v>619</v>
      </c>
      <c r="E165" t="s">
        <v>622</v>
      </c>
      <c r="F165" t="s">
        <v>628</v>
      </c>
      <c r="G165" t="s">
        <v>631</v>
      </c>
      <c r="H165">
        <v>1</v>
      </c>
      <c r="I165" s="35">
        <v>115149</v>
      </c>
      <c r="J165" s="35">
        <v>115149</v>
      </c>
      <c r="K165" s="35">
        <v>58147.682265708907</v>
      </c>
      <c r="L165" s="35">
        <v>18697.114462734251</v>
      </c>
      <c r="M165" s="35">
        <v>96451.885537265756</v>
      </c>
      <c r="N165" s="35">
        <v>38304.203271556849</v>
      </c>
    </row>
    <row r="166" spans="1:14" x14ac:dyDescent="0.25">
      <c r="A166" t="s">
        <v>177</v>
      </c>
      <c r="B166" s="2">
        <v>45546</v>
      </c>
      <c r="C166" t="s">
        <v>616</v>
      </c>
      <c r="D166" t="s">
        <v>618</v>
      </c>
      <c r="E166" t="s">
        <v>622</v>
      </c>
      <c r="F166" t="s">
        <v>627</v>
      </c>
      <c r="G166" t="s">
        <v>631</v>
      </c>
      <c r="H166">
        <v>5</v>
      </c>
      <c r="I166" s="35">
        <v>76616</v>
      </c>
      <c r="J166" s="35">
        <v>383080</v>
      </c>
      <c r="K166" s="35">
        <v>267587.35788417398</v>
      </c>
      <c r="L166" s="35">
        <v>1062.061405099691</v>
      </c>
      <c r="M166" s="35">
        <v>382017.9385949003</v>
      </c>
      <c r="N166" s="35">
        <v>114430.58071072632</v>
      </c>
    </row>
    <row r="167" spans="1:14" x14ac:dyDescent="0.25">
      <c r="A167" t="s">
        <v>178</v>
      </c>
      <c r="B167" s="2">
        <v>45482</v>
      </c>
      <c r="C167" t="s">
        <v>617</v>
      </c>
      <c r="D167" t="s">
        <v>619</v>
      </c>
      <c r="E167" t="s">
        <v>622</v>
      </c>
      <c r="F167" t="s">
        <v>629</v>
      </c>
      <c r="G167" t="s">
        <v>631</v>
      </c>
      <c r="H167">
        <v>9</v>
      </c>
      <c r="I167" s="35">
        <v>271767</v>
      </c>
      <c r="J167" s="35">
        <v>2445903</v>
      </c>
      <c r="K167" s="35">
        <v>1665011.369236321</v>
      </c>
      <c r="L167" s="35">
        <v>317663.5209106431</v>
      </c>
      <c r="M167" s="35">
        <v>2128239.479089357</v>
      </c>
      <c r="N167" s="35">
        <v>463228.109853036</v>
      </c>
    </row>
    <row r="168" spans="1:14" x14ac:dyDescent="0.25">
      <c r="A168" t="s">
        <v>179</v>
      </c>
      <c r="B168" s="2">
        <v>45266</v>
      </c>
      <c r="C168" t="s">
        <v>615</v>
      </c>
      <c r="D168" t="s">
        <v>619</v>
      </c>
      <c r="E168" t="s">
        <v>622</v>
      </c>
      <c r="F168" t="s">
        <v>627</v>
      </c>
      <c r="G168" t="s">
        <v>631</v>
      </c>
      <c r="H168">
        <v>5</v>
      </c>
      <c r="I168" s="35">
        <v>235639</v>
      </c>
      <c r="J168" s="35">
        <v>1178195</v>
      </c>
      <c r="K168" s="35">
        <v>646717.99144033901</v>
      </c>
      <c r="L168" s="35">
        <v>157613.39689789599</v>
      </c>
      <c r="M168" s="35">
        <v>1020581.603102104</v>
      </c>
      <c r="N168" s="35">
        <v>373863.61166176503</v>
      </c>
    </row>
    <row r="169" spans="1:14" x14ac:dyDescent="0.25">
      <c r="A169" t="s">
        <v>180</v>
      </c>
      <c r="B169" s="2">
        <v>45257</v>
      </c>
      <c r="C169" t="s">
        <v>615</v>
      </c>
      <c r="D169" t="s">
        <v>619</v>
      </c>
      <c r="E169" t="s">
        <v>623</v>
      </c>
      <c r="F169" t="s">
        <v>628</v>
      </c>
      <c r="G169" t="s">
        <v>631</v>
      </c>
      <c r="H169">
        <v>6</v>
      </c>
      <c r="I169" s="35">
        <v>218171</v>
      </c>
      <c r="J169" s="35">
        <v>1309026</v>
      </c>
      <c r="K169" s="35">
        <v>746333.12329574442</v>
      </c>
      <c r="L169" s="35">
        <v>209092.23630742531</v>
      </c>
      <c r="M169" s="35">
        <v>1099933.763692575</v>
      </c>
      <c r="N169" s="35">
        <v>353600.64039683063</v>
      </c>
    </row>
    <row r="170" spans="1:14" x14ac:dyDescent="0.25">
      <c r="A170" t="s">
        <v>181</v>
      </c>
      <c r="B170" s="2">
        <v>45566</v>
      </c>
      <c r="C170" t="s">
        <v>616</v>
      </c>
      <c r="D170" t="s">
        <v>619</v>
      </c>
      <c r="E170" t="s">
        <v>624</v>
      </c>
      <c r="F170" t="s">
        <v>629</v>
      </c>
      <c r="G170" t="s">
        <v>631</v>
      </c>
      <c r="H170">
        <v>8</v>
      </c>
      <c r="I170" s="35">
        <v>256903</v>
      </c>
      <c r="J170" s="35">
        <v>2055224</v>
      </c>
      <c r="K170" s="35">
        <v>1042229.423282891</v>
      </c>
      <c r="L170" s="35">
        <v>383403.24528545869</v>
      </c>
      <c r="M170" s="35">
        <v>1671820.7547145409</v>
      </c>
      <c r="N170" s="35">
        <v>629591.33143164986</v>
      </c>
    </row>
    <row r="171" spans="1:14" x14ac:dyDescent="0.25">
      <c r="A171" t="s">
        <v>182</v>
      </c>
      <c r="B171" s="2">
        <v>45432</v>
      </c>
      <c r="C171" t="s">
        <v>616</v>
      </c>
      <c r="D171" t="s">
        <v>619</v>
      </c>
      <c r="E171" t="s">
        <v>621</v>
      </c>
      <c r="F171" t="s">
        <v>629</v>
      </c>
      <c r="G171" t="s">
        <v>631</v>
      </c>
      <c r="H171">
        <v>1</v>
      </c>
      <c r="I171" s="35">
        <v>281318</v>
      </c>
      <c r="J171" s="35">
        <v>281318</v>
      </c>
      <c r="K171" s="35">
        <v>211124.70340346149</v>
      </c>
      <c r="L171" s="35">
        <v>1133.027878143263</v>
      </c>
      <c r="M171" s="35">
        <v>280184.97212185682</v>
      </c>
      <c r="N171" s="35">
        <v>69060.268718395324</v>
      </c>
    </row>
    <row r="172" spans="1:14" x14ac:dyDescent="0.25">
      <c r="A172" t="s">
        <v>183</v>
      </c>
      <c r="B172" s="2">
        <v>45274</v>
      </c>
      <c r="C172" t="s">
        <v>613</v>
      </c>
      <c r="D172" t="s">
        <v>618</v>
      </c>
      <c r="E172" t="s">
        <v>624</v>
      </c>
      <c r="F172" t="s">
        <v>627</v>
      </c>
      <c r="G172" t="s">
        <v>631</v>
      </c>
      <c r="H172">
        <v>2</v>
      </c>
      <c r="I172" s="35">
        <v>373943</v>
      </c>
      <c r="J172" s="35">
        <v>747886</v>
      </c>
      <c r="K172" s="35">
        <v>592630.2353349101</v>
      </c>
      <c r="L172" s="35">
        <v>23002.536076291439</v>
      </c>
      <c r="M172" s="35">
        <v>724883.46392370854</v>
      </c>
      <c r="N172" s="35">
        <v>132253.22858879843</v>
      </c>
    </row>
    <row r="173" spans="1:14" x14ac:dyDescent="0.25">
      <c r="A173" t="s">
        <v>184</v>
      </c>
      <c r="B173" s="2">
        <v>45399</v>
      </c>
      <c r="C173" t="s">
        <v>617</v>
      </c>
      <c r="D173" t="s">
        <v>619</v>
      </c>
      <c r="E173" t="s">
        <v>622</v>
      </c>
      <c r="F173" t="s">
        <v>628</v>
      </c>
      <c r="G173" t="s">
        <v>633</v>
      </c>
      <c r="H173">
        <v>9</v>
      </c>
      <c r="I173" s="35">
        <v>402365</v>
      </c>
      <c r="J173" s="35">
        <v>3621285</v>
      </c>
      <c r="K173" s="35">
        <v>1957803.776610469</v>
      </c>
      <c r="L173" s="35">
        <v>641815.76291911141</v>
      </c>
      <c r="M173" s="35">
        <v>2979469.2370808888</v>
      </c>
      <c r="N173" s="35">
        <v>1021665.4604704198</v>
      </c>
    </row>
    <row r="174" spans="1:14" x14ac:dyDescent="0.25">
      <c r="A174" t="s">
        <v>185</v>
      </c>
      <c r="B174" s="2">
        <v>45157</v>
      </c>
      <c r="C174" t="s">
        <v>617</v>
      </c>
      <c r="D174" t="s">
        <v>619</v>
      </c>
      <c r="E174" t="s">
        <v>623</v>
      </c>
      <c r="F174" t="s">
        <v>625</v>
      </c>
      <c r="G174" t="s">
        <v>632</v>
      </c>
      <c r="H174">
        <v>3</v>
      </c>
      <c r="I174" s="35">
        <v>427023</v>
      </c>
      <c r="J174" s="35">
        <v>1281069</v>
      </c>
      <c r="K174" s="35">
        <v>729495.21618692903</v>
      </c>
      <c r="L174" s="35">
        <v>117478.7831884715</v>
      </c>
      <c r="M174" s="35">
        <v>1163590.216811528</v>
      </c>
      <c r="N174" s="35">
        <v>434095.00062459894</v>
      </c>
    </row>
    <row r="175" spans="1:14" x14ac:dyDescent="0.25">
      <c r="A175" t="s">
        <v>186</v>
      </c>
      <c r="B175" s="2">
        <v>45116</v>
      </c>
      <c r="C175" t="s">
        <v>614</v>
      </c>
      <c r="D175" t="s">
        <v>619</v>
      </c>
      <c r="E175" t="s">
        <v>620</v>
      </c>
      <c r="F175" t="s">
        <v>628</v>
      </c>
      <c r="G175" t="s">
        <v>631</v>
      </c>
      <c r="H175">
        <v>6</v>
      </c>
      <c r="I175" s="35">
        <v>337623</v>
      </c>
      <c r="J175" s="35">
        <v>2025738</v>
      </c>
      <c r="K175" s="35">
        <v>1540620.051666365</v>
      </c>
      <c r="L175" s="35">
        <v>228742.54234635929</v>
      </c>
      <c r="M175" s="35">
        <v>1796995.457653641</v>
      </c>
      <c r="N175" s="35">
        <v>256375.405987276</v>
      </c>
    </row>
    <row r="176" spans="1:14" x14ac:dyDescent="0.25">
      <c r="A176" t="s">
        <v>187</v>
      </c>
      <c r="B176" s="2">
        <v>45151</v>
      </c>
      <c r="C176" t="s">
        <v>613</v>
      </c>
      <c r="D176" t="s">
        <v>619</v>
      </c>
      <c r="E176" t="s">
        <v>623</v>
      </c>
      <c r="F176" t="s">
        <v>630</v>
      </c>
      <c r="G176" t="s">
        <v>631</v>
      </c>
      <c r="H176">
        <v>5</v>
      </c>
      <c r="I176" s="35">
        <v>489388</v>
      </c>
      <c r="J176" s="35">
        <v>2446940</v>
      </c>
      <c r="K176" s="35">
        <v>1903570.397731272</v>
      </c>
      <c r="L176" s="35">
        <v>324477.55717566371</v>
      </c>
      <c r="M176" s="35">
        <v>2122462.4428243358</v>
      </c>
      <c r="N176" s="35">
        <v>218892.04509306373</v>
      </c>
    </row>
    <row r="177" spans="1:14" x14ac:dyDescent="0.25">
      <c r="A177" t="s">
        <v>188</v>
      </c>
      <c r="B177" s="2">
        <v>45311</v>
      </c>
      <c r="C177" t="s">
        <v>613</v>
      </c>
      <c r="D177" t="s">
        <v>618</v>
      </c>
      <c r="E177" t="s">
        <v>622</v>
      </c>
      <c r="F177" t="s">
        <v>626</v>
      </c>
      <c r="G177" t="s">
        <v>632</v>
      </c>
      <c r="H177">
        <v>2</v>
      </c>
      <c r="I177" s="35">
        <v>411309</v>
      </c>
      <c r="J177" s="35">
        <v>822618</v>
      </c>
      <c r="K177" s="35">
        <v>514866.91151693178</v>
      </c>
      <c r="L177" s="35">
        <v>111722.48241139849</v>
      </c>
      <c r="M177" s="35">
        <v>710895.51758860156</v>
      </c>
      <c r="N177" s="35">
        <v>196028.60607166978</v>
      </c>
    </row>
    <row r="178" spans="1:14" x14ac:dyDescent="0.25">
      <c r="A178" t="s">
        <v>189</v>
      </c>
      <c r="B178" s="2">
        <v>45303</v>
      </c>
      <c r="C178" t="s">
        <v>613</v>
      </c>
      <c r="D178" t="s">
        <v>618</v>
      </c>
      <c r="E178" t="s">
        <v>623</v>
      </c>
      <c r="F178" t="s">
        <v>625</v>
      </c>
      <c r="G178" t="s">
        <v>633</v>
      </c>
      <c r="H178">
        <v>7</v>
      </c>
      <c r="I178" s="35">
        <v>105863</v>
      </c>
      <c r="J178" s="35">
        <v>741041</v>
      </c>
      <c r="K178" s="35">
        <v>381774.49824182398</v>
      </c>
      <c r="L178" s="35">
        <v>138091.56804281371</v>
      </c>
      <c r="M178" s="35">
        <v>602949.4319571862</v>
      </c>
      <c r="N178" s="35">
        <v>221174.93371536222</v>
      </c>
    </row>
    <row r="179" spans="1:14" x14ac:dyDescent="0.25">
      <c r="A179" t="s">
        <v>190</v>
      </c>
      <c r="B179" s="2">
        <v>45209</v>
      </c>
      <c r="C179" t="s">
        <v>613</v>
      </c>
      <c r="D179" t="s">
        <v>618</v>
      </c>
      <c r="E179" t="s">
        <v>623</v>
      </c>
      <c r="F179" t="s">
        <v>629</v>
      </c>
      <c r="G179" t="s">
        <v>632</v>
      </c>
      <c r="H179">
        <v>4</v>
      </c>
      <c r="I179" s="35">
        <v>223115</v>
      </c>
      <c r="J179" s="35">
        <v>892460</v>
      </c>
      <c r="K179" s="35">
        <v>456776.69076924812</v>
      </c>
      <c r="L179" s="35">
        <v>177947.49541264371</v>
      </c>
      <c r="M179" s="35">
        <v>714512.50458735623</v>
      </c>
      <c r="N179" s="35">
        <v>257735.81381810812</v>
      </c>
    </row>
    <row r="180" spans="1:14" x14ac:dyDescent="0.25">
      <c r="A180" t="s">
        <v>191</v>
      </c>
      <c r="B180" s="2">
        <v>45559</v>
      </c>
      <c r="C180" t="s">
        <v>617</v>
      </c>
      <c r="D180" t="s">
        <v>618</v>
      </c>
      <c r="E180" t="s">
        <v>622</v>
      </c>
      <c r="F180" t="s">
        <v>625</v>
      </c>
      <c r="G180" t="s">
        <v>632</v>
      </c>
      <c r="H180">
        <v>1</v>
      </c>
      <c r="I180" s="35">
        <v>394713</v>
      </c>
      <c r="J180" s="35">
        <v>394713</v>
      </c>
      <c r="K180" s="35">
        <v>265320.14204570919</v>
      </c>
      <c r="L180" s="35">
        <v>56851.102375286842</v>
      </c>
      <c r="M180" s="35">
        <v>337861.89762471308</v>
      </c>
      <c r="N180" s="35">
        <v>72541.75557900389</v>
      </c>
    </row>
    <row r="181" spans="1:14" x14ac:dyDescent="0.25">
      <c r="A181" t="s">
        <v>192</v>
      </c>
      <c r="B181" s="2">
        <v>45554</v>
      </c>
      <c r="C181" t="s">
        <v>617</v>
      </c>
      <c r="D181" t="s">
        <v>619</v>
      </c>
      <c r="E181" t="s">
        <v>623</v>
      </c>
      <c r="F181" t="s">
        <v>629</v>
      </c>
      <c r="G181" t="s">
        <v>631</v>
      </c>
      <c r="H181">
        <v>4</v>
      </c>
      <c r="I181" s="35">
        <v>458624</v>
      </c>
      <c r="J181" s="35">
        <v>1834496</v>
      </c>
      <c r="K181" s="35">
        <v>1133477.351705231</v>
      </c>
      <c r="L181" s="35">
        <v>105381.2318804025</v>
      </c>
      <c r="M181" s="35">
        <v>1729114.768119598</v>
      </c>
      <c r="N181" s="35">
        <v>595637.41641436704</v>
      </c>
    </row>
    <row r="182" spans="1:14" x14ac:dyDescent="0.25">
      <c r="A182" t="s">
        <v>193</v>
      </c>
      <c r="B182" s="2">
        <v>45185</v>
      </c>
      <c r="C182" t="s">
        <v>613</v>
      </c>
      <c r="D182" t="s">
        <v>618</v>
      </c>
      <c r="E182" t="s">
        <v>621</v>
      </c>
      <c r="F182" t="s">
        <v>629</v>
      </c>
      <c r="G182" t="s">
        <v>632</v>
      </c>
      <c r="H182">
        <v>6</v>
      </c>
      <c r="I182" s="35">
        <v>303347</v>
      </c>
      <c r="J182" s="35">
        <v>1820082</v>
      </c>
      <c r="K182" s="35">
        <v>925685.93030711776</v>
      </c>
      <c r="L182" s="35">
        <v>320244.30237453867</v>
      </c>
      <c r="M182" s="35">
        <v>1499837.697625461</v>
      </c>
      <c r="N182" s="35">
        <v>574151.76731834328</v>
      </c>
    </row>
    <row r="183" spans="1:14" x14ac:dyDescent="0.25">
      <c r="A183" t="s">
        <v>194</v>
      </c>
      <c r="B183" s="2">
        <v>45285</v>
      </c>
      <c r="C183" t="s">
        <v>614</v>
      </c>
      <c r="D183" t="s">
        <v>619</v>
      </c>
      <c r="E183" t="s">
        <v>621</v>
      </c>
      <c r="F183" t="s">
        <v>625</v>
      </c>
      <c r="G183" t="s">
        <v>632</v>
      </c>
      <c r="H183">
        <v>7</v>
      </c>
      <c r="I183" s="35">
        <v>239052</v>
      </c>
      <c r="J183" s="35">
        <v>1673364</v>
      </c>
      <c r="K183" s="35">
        <v>1129480.0668629131</v>
      </c>
      <c r="L183" s="35">
        <v>16472.901287917401</v>
      </c>
      <c r="M183" s="35">
        <v>1656891.098712082</v>
      </c>
      <c r="N183" s="35">
        <v>527411.03184916894</v>
      </c>
    </row>
    <row r="184" spans="1:14" x14ac:dyDescent="0.25">
      <c r="A184" t="s">
        <v>195</v>
      </c>
      <c r="B184" s="2">
        <v>45636</v>
      </c>
      <c r="C184" t="s">
        <v>615</v>
      </c>
      <c r="D184" t="s">
        <v>619</v>
      </c>
      <c r="E184" t="s">
        <v>623</v>
      </c>
      <c r="F184" t="s">
        <v>629</v>
      </c>
      <c r="G184" t="s">
        <v>631</v>
      </c>
      <c r="H184">
        <v>7</v>
      </c>
      <c r="I184" s="35">
        <v>328495</v>
      </c>
      <c r="J184" s="35">
        <v>2299465</v>
      </c>
      <c r="K184" s="35">
        <v>1157529.4361893029</v>
      </c>
      <c r="L184" s="35">
        <v>106272.4666710107</v>
      </c>
      <c r="M184" s="35">
        <v>2193192.53332899</v>
      </c>
      <c r="N184" s="35">
        <v>1035663.097139687</v>
      </c>
    </row>
    <row r="185" spans="1:14" x14ac:dyDescent="0.25">
      <c r="A185" t="s">
        <v>196</v>
      </c>
      <c r="B185" s="2">
        <v>45382</v>
      </c>
      <c r="C185" t="s">
        <v>615</v>
      </c>
      <c r="D185" t="s">
        <v>619</v>
      </c>
      <c r="E185" t="s">
        <v>620</v>
      </c>
      <c r="F185" t="s">
        <v>629</v>
      </c>
      <c r="G185" t="s">
        <v>631</v>
      </c>
      <c r="H185">
        <v>7</v>
      </c>
      <c r="I185" s="35">
        <v>185203</v>
      </c>
      <c r="J185" s="35">
        <v>1296421</v>
      </c>
      <c r="K185" s="35">
        <v>954440.16240675154</v>
      </c>
      <c r="L185" s="35">
        <v>232677.93784400541</v>
      </c>
      <c r="M185" s="35">
        <v>1063743.0621559951</v>
      </c>
      <c r="N185" s="35">
        <v>109302.89974924352</v>
      </c>
    </row>
    <row r="186" spans="1:14" x14ac:dyDescent="0.25">
      <c r="A186" t="s">
        <v>197</v>
      </c>
      <c r="B186" s="2">
        <v>45337</v>
      </c>
      <c r="C186" t="s">
        <v>614</v>
      </c>
      <c r="D186" t="s">
        <v>619</v>
      </c>
      <c r="E186" t="s">
        <v>622</v>
      </c>
      <c r="F186" t="s">
        <v>630</v>
      </c>
      <c r="G186" t="s">
        <v>631</v>
      </c>
      <c r="H186">
        <v>3</v>
      </c>
      <c r="I186" s="35">
        <v>297908</v>
      </c>
      <c r="J186" s="35">
        <v>893724</v>
      </c>
      <c r="K186" s="35">
        <v>529021.91041132435</v>
      </c>
      <c r="L186" s="35">
        <v>45792.901010159607</v>
      </c>
      <c r="M186" s="35">
        <v>847931.09898984036</v>
      </c>
      <c r="N186" s="35">
        <v>318909.18857851601</v>
      </c>
    </row>
    <row r="187" spans="1:14" x14ac:dyDescent="0.25">
      <c r="A187" t="s">
        <v>198</v>
      </c>
      <c r="B187" s="2">
        <v>45575</v>
      </c>
      <c r="C187" t="s">
        <v>613</v>
      </c>
      <c r="D187" t="s">
        <v>619</v>
      </c>
      <c r="E187" t="s">
        <v>621</v>
      </c>
      <c r="F187" t="s">
        <v>628</v>
      </c>
      <c r="G187" t="s">
        <v>631</v>
      </c>
      <c r="H187">
        <v>6</v>
      </c>
      <c r="I187" s="35">
        <v>356969</v>
      </c>
      <c r="J187" s="35">
        <v>2141814</v>
      </c>
      <c r="K187" s="35">
        <v>1096774.5463371649</v>
      </c>
      <c r="L187" s="35">
        <v>94518.705722539118</v>
      </c>
      <c r="M187" s="35">
        <v>2047295.294277461</v>
      </c>
      <c r="N187" s="35">
        <v>950520.74794029607</v>
      </c>
    </row>
    <row r="188" spans="1:14" x14ac:dyDescent="0.25">
      <c r="A188" t="s">
        <v>199</v>
      </c>
      <c r="B188" s="2">
        <v>45244</v>
      </c>
      <c r="C188" t="s">
        <v>617</v>
      </c>
      <c r="D188" t="s">
        <v>618</v>
      </c>
      <c r="E188" t="s">
        <v>620</v>
      </c>
      <c r="F188" t="s">
        <v>628</v>
      </c>
      <c r="G188" t="s">
        <v>632</v>
      </c>
      <c r="H188">
        <v>8</v>
      </c>
      <c r="I188" s="35">
        <v>323493</v>
      </c>
      <c r="J188" s="35">
        <v>2587944</v>
      </c>
      <c r="K188" s="35">
        <v>1750758.7800540079</v>
      </c>
      <c r="L188" s="35">
        <v>71492.10472610881</v>
      </c>
      <c r="M188" s="35">
        <v>2516451.8952738908</v>
      </c>
      <c r="N188" s="35">
        <v>765693.11521988292</v>
      </c>
    </row>
    <row r="189" spans="1:14" x14ac:dyDescent="0.25">
      <c r="A189" t="s">
        <v>200</v>
      </c>
      <c r="B189" s="2">
        <v>45603</v>
      </c>
      <c r="C189" t="s">
        <v>615</v>
      </c>
      <c r="D189" t="s">
        <v>618</v>
      </c>
      <c r="E189" t="s">
        <v>623</v>
      </c>
      <c r="F189" t="s">
        <v>626</v>
      </c>
      <c r="G189" t="s">
        <v>632</v>
      </c>
      <c r="H189">
        <v>4</v>
      </c>
      <c r="I189" s="35">
        <v>242003</v>
      </c>
      <c r="J189" s="35">
        <v>968012</v>
      </c>
      <c r="K189" s="35">
        <v>599494.98561525112</v>
      </c>
      <c r="L189" s="35">
        <v>166326.0981486614</v>
      </c>
      <c r="M189" s="35">
        <v>801685.90185133857</v>
      </c>
      <c r="N189" s="35">
        <v>202190.91623608745</v>
      </c>
    </row>
    <row r="190" spans="1:14" x14ac:dyDescent="0.25">
      <c r="A190" t="s">
        <v>201</v>
      </c>
      <c r="B190" s="2">
        <v>45151</v>
      </c>
      <c r="C190" t="s">
        <v>616</v>
      </c>
      <c r="D190" t="s">
        <v>618</v>
      </c>
      <c r="E190" t="s">
        <v>620</v>
      </c>
      <c r="F190" t="s">
        <v>626</v>
      </c>
      <c r="G190" t="s">
        <v>633</v>
      </c>
      <c r="H190">
        <v>8</v>
      </c>
      <c r="I190" s="35">
        <v>356398</v>
      </c>
      <c r="J190" s="35">
        <v>2851184</v>
      </c>
      <c r="K190" s="35">
        <v>2258537.2473271871</v>
      </c>
      <c r="L190" s="35">
        <v>285151.62153469591</v>
      </c>
      <c r="M190" s="35">
        <v>2566032.3784653042</v>
      </c>
      <c r="N190" s="35">
        <v>307495.13113811705</v>
      </c>
    </row>
    <row r="191" spans="1:14" x14ac:dyDescent="0.25">
      <c r="A191" t="s">
        <v>202</v>
      </c>
      <c r="B191" s="2">
        <v>45160</v>
      </c>
      <c r="C191" t="s">
        <v>616</v>
      </c>
      <c r="D191" t="s">
        <v>618</v>
      </c>
      <c r="E191" t="s">
        <v>624</v>
      </c>
      <c r="F191" t="s">
        <v>630</v>
      </c>
      <c r="G191" t="s">
        <v>633</v>
      </c>
      <c r="H191">
        <v>2</v>
      </c>
      <c r="I191" s="35">
        <v>350369</v>
      </c>
      <c r="J191" s="35">
        <v>700738</v>
      </c>
      <c r="K191" s="35">
        <v>464771.20470965578</v>
      </c>
      <c r="L191" s="35">
        <v>94584.662664352465</v>
      </c>
      <c r="M191" s="35">
        <v>606153.33733564755</v>
      </c>
      <c r="N191" s="35">
        <v>141382.13262599177</v>
      </c>
    </row>
    <row r="192" spans="1:14" x14ac:dyDescent="0.25">
      <c r="A192" t="s">
        <v>203</v>
      </c>
      <c r="B192" s="2">
        <v>45610</v>
      </c>
      <c r="C192" t="s">
        <v>614</v>
      </c>
      <c r="D192" t="s">
        <v>619</v>
      </c>
      <c r="E192" t="s">
        <v>621</v>
      </c>
      <c r="F192" t="s">
        <v>626</v>
      </c>
      <c r="G192" t="s">
        <v>632</v>
      </c>
      <c r="H192">
        <v>9</v>
      </c>
      <c r="I192" s="35">
        <v>324597</v>
      </c>
      <c r="J192" s="35">
        <v>2921373</v>
      </c>
      <c r="K192" s="35">
        <v>1701909.3936070891</v>
      </c>
      <c r="L192" s="35">
        <v>139680.41592888441</v>
      </c>
      <c r="M192" s="35">
        <v>2781692.5840711161</v>
      </c>
      <c r="N192" s="35">
        <v>1079783.190464027</v>
      </c>
    </row>
    <row r="193" spans="1:14" x14ac:dyDescent="0.25">
      <c r="A193" t="s">
        <v>204</v>
      </c>
      <c r="B193" s="2">
        <v>45590</v>
      </c>
      <c r="C193" t="s">
        <v>613</v>
      </c>
      <c r="D193" t="s">
        <v>618</v>
      </c>
      <c r="E193" t="s">
        <v>623</v>
      </c>
      <c r="F193" t="s">
        <v>625</v>
      </c>
      <c r="G193" t="s">
        <v>633</v>
      </c>
      <c r="H193">
        <v>9</v>
      </c>
      <c r="I193" s="35">
        <v>199886</v>
      </c>
      <c r="J193" s="35">
        <v>1798974</v>
      </c>
      <c r="K193" s="35">
        <v>1282365.621619812</v>
      </c>
      <c r="L193" s="35">
        <v>272739.00166964647</v>
      </c>
      <c r="M193" s="35">
        <v>1526234.998330354</v>
      </c>
      <c r="N193" s="35">
        <v>243869.37671054201</v>
      </c>
    </row>
    <row r="194" spans="1:14" x14ac:dyDescent="0.25">
      <c r="A194" t="s">
        <v>205</v>
      </c>
      <c r="B194" s="2">
        <v>45300</v>
      </c>
      <c r="C194" t="s">
        <v>615</v>
      </c>
      <c r="D194" t="s">
        <v>619</v>
      </c>
      <c r="E194" t="s">
        <v>622</v>
      </c>
      <c r="F194" t="s">
        <v>627</v>
      </c>
      <c r="G194" t="s">
        <v>632</v>
      </c>
      <c r="H194">
        <v>8</v>
      </c>
      <c r="I194" s="35">
        <v>199335</v>
      </c>
      <c r="J194" s="35">
        <v>1594680</v>
      </c>
      <c r="K194" s="35">
        <v>927222.85998444329</v>
      </c>
      <c r="L194" s="35">
        <v>242393.12848803191</v>
      </c>
      <c r="M194" s="35">
        <v>1352286.8715119681</v>
      </c>
      <c r="N194" s="35">
        <v>425064.0115275248</v>
      </c>
    </row>
    <row r="195" spans="1:14" x14ac:dyDescent="0.25">
      <c r="A195" t="s">
        <v>206</v>
      </c>
      <c r="B195" s="2">
        <v>45598</v>
      </c>
      <c r="C195" t="s">
        <v>613</v>
      </c>
      <c r="D195" t="s">
        <v>618</v>
      </c>
      <c r="E195" t="s">
        <v>623</v>
      </c>
      <c r="F195" t="s">
        <v>627</v>
      </c>
      <c r="G195" t="s">
        <v>633</v>
      </c>
      <c r="H195">
        <v>1</v>
      </c>
      <c r="I195" s="35">
        <v>127694</v>
      </c>
      <c r="J195" s="35">
        <v>127694</v>
      </c>
      <c r="K195" s="35">
        <v>98486.932855899286</v>
      </c>
      <c r="L195" s="35">
        <v>7983.3784385280951</v>
      </c>
      <c r="M195" s="35">
        <v>119710.6215614719</v>
      </c>
      <c r="N195" s="35">
        <v>21223.688705572611</v>
      </c>
    </row>
    <row r="196" spans="1:14" x14ac:dyDescent="0.25">
      <c r="A196" t="s">
        <v>207</v>
      </c>
      <c r="B196" s="2">
        <v>45534</v>
      </c>
      <c r="C196" t="s">
        <v>615</v>
      </c>
      <c r="D196" t="s">
        <v>619</v>
      </c>
      <c r="E196" t="s">
        <v>622</v>
      </c>
      <c r="F196" t="s">
        <v>627</v>
      </c>
      <c r="G196" t="s">
        <v>631</v>
      </c>
      <c r="H196">
        <v>2</v>
      </c>
      <c r="I196" s="35">
        <v>65735</v>
      </c>
      <c r="J196" s="35">
        <v>131470</v>
      </c>
      <c r="K196" s="35">
        <v>80514.409238781431</v>
      </c>
      <c r="L196" s="35">
        <v>10798.48915237238</v>
      </c>
      <c r="M196" s="35">
        <v>120671.51084762759</v>
      </c>
      <c r="N196" s="35">
        <v>40157.101608846162</v>
      </c>
    </row>
    <row r="197" spans="1:14" x14ac:dyDescent="0.25">
      <c r="A197" t="s">
        <v>208</v>
      </c>
      <c r="B197" s="2">
        <v>45398</v>
      </c>
      <c r="C197" t="s">
        <v>614</v>
      </c>
      <c r="D197" t="s">
        <v>619</v>
      </c>
      <c r="E197" t="s">
        <v>623</v>
      </c>
      <c r="F197" t="s">
        <v>630</v>
      </c>
      <c r="G197" t="s">
        <v>633</v>
      </c>
      <c r="H197">
        <v>6</v>
      </c>
      <c r="I197" s="35">
        <v>459046</v>
      </c>
      <c r="J197" s="35">
        <v>2754276</v>
      </c>
      <c r="K197" s="35">
        <v>1831484.9356826991</v>
      </c>
      <c r="L197" s="35">
        <v>115508.9797118688</v>
      </c>
      <c r="M197" s="35">
        <v>2638767.0202881312</v>
      </c>
      <c r="N197" s="35">
        <v>807282.08460543212</v>
      </c>
    </row>
    <row r="198" spans="1:14" x14ac:dyDescent="0.25">
      <c r="A198" t="s">
        <v>209</v>
      </c>
      <c r="B198" s="2">
        <v>45159</v>
      </c>
      <c r="C198" t="s">
        <v>614</v>
      </c>
      <c r="D198" t="s">
        <v>618</v>
      </c>
      <c r="E198" t="s">
        <v>620</v>
      </c>
      <c r="F198" t="s">
        <v>630</v>
      </c>
      <c r="G198" t="s">
        <v>631</v>
      </c>
      <c r="H198">
        <v>5</v>
      </c>
      <c r="I198" s="35">
        <v>360037</v>
      </c>
      <c r="J198" s="35">
        <v>1800185</v>
      </c>
      <c r="K198" s="35">
        <v>927404.78287234588</v>
      </c>
      <c r="L198" s="35">
        <v>351598.10115410847</v>
      </c>
      <c r="M198" s="35">
        <v>1448586.898845891</v>
      </c>
      <c r="N198" s="35">
        <v>521182.11597354512</v>
      </c>
    </row>
    <row r="199" spans="1:14" x14ac:dyDescent="0.25">
      <c r="A199" t="s">
        <v>210</v>
      </c>
      <c r="B199" s="2">
        <v>45618</v>
      </c>
      <c r="C199" t="s">
        <v>616</v>
      </c>
      <c r="D199" t="s">
        <v>619</v>
      </c>
      <c r="E199" t="s">
        <v>620</v>
      </c>
      <c r="F199" t="s">
        <v>629</v>
      </c>
      <c r="G199" t="s">
        <v>631</v>
      </c>
      <c r="H199">
        <v>9</v>
      </c>
      <c r="I199" s="35">
        <v>225745</v>
      </c>
      <c r="J199" s="35">
        <v>2031705</v>
      </c>
      <c r="K199" s="35">
        <v>1275578.2949261209</v>
      </c>
      <c r="L199" s="35">
        <v>262334.796764492</v>
      </c>
      <c r="M199" s="35">
        <v>1769370.2032355079</v>
      </c>
      <c r="N199" s="35">
        <v>493791.90830938704</v>
      </c>
    </row>
    <row r="200" spans="1:14" x14ac:dyDescent="0.25">
      <c r="A200" t="s">
        <v>211</v>
      </c>
      <c r="B200" s="2">
        <v>45039</v>
      </c>
      <c r="C200" t="s">
        <v>613</v>
      </c>
      <c r="D200" t="s">
        <v>619</v>
      </c>
      <c r="E200" t="s">
        <v>620</v>
      </c>
      <c r="F200" t="s">
        <v>627</v>
      </c>
      <c r="G200" t="s">
        <v>631</v>
      </c>
      <c r="H200">
        <v>5</v>
      </c>
      <c r="I200" s="35">
        <v>439150</v>
      </c>
      <c r="J200" s="35">
        <v>2195750</v>
      </c>
      <c r="K200" s="35">
        <v>1646173.672663189</v>
      </c>
      <c r="L200" s="35">
        <v>410404.94521621859</v>
      </c>
      <c r="M200" s="35">
        <v>1785345.0547837811</v>
      </c>
      <c r="N200" s="35">
        <v>139171.38212059205</v>
      </c>
    </row>
    <row r="201" spans="1:14" x14ac:dyDescent="0.25">
      <c r="A201" t="s">
        <v>212</v>
      </c>
      <c r="B201" s="2">
        <v>45423</v>
      </c>
      <c r="C201" t="s">
        <v>616</v>
      </c>
      <c r="D201" t="s">
        <v>618</v>
      </c>
      <c r="E201" t="s">
        <v>624</v>
      </c>
      <c r="F201" t="s">
        <v>625</v>
      </c>
      <c r="G201" t="s">
        <v>631</v>
      </c>
      <c r="H201">
        <v>2</v>
      </c>
      <c r="I201" s="35">
        <v>270534</v>
      </c>
      <c r="J201" s="35">
        <v>541068</v>
      </c>
      <c r="K201" s="35">
        <v>401307.23634609987</v>
      </c>
      <c r="L201" s="35">
        <v>32830.441864065557</v>
      </c>
      <c r="M201" s="35">
        <v>508237.55813593441</v>
      </c>
      <c r="N201" s="35">
        <v>106930.32178983453</v>
      </c>
    </row>
    <row r="202" spans="1:14" x14ac:dyDescent="0.25">
      <c r="A202" t="s">
        <v>213</v>
      </c>
      <c r="B202" s="2">
        <v>45368</v>
      </c>
      <c r="C202" t="s">
        <v>613</v>
      </c>
      <c r="D202" t="s">
        <v>619</v>
      </c>
      <c r="E202" t="s">
        <v>622</v>
      </c>
      <c r="F202" t="s">
        <v>626</v>
      </c>
      <c r="G202" t="s">
        <v>633</v>
      </c>
      <c r="H202">
        <v>4</v>
      </c>
      <c r="I202" s="35">
        <v>95066</v>
      </c>
      <c r="J202" s="35">
        <v>380264</v>
      </c>
      <c r="K202" s="35">
        <v>215722.0817391632</v>
      </c>
      <c r="L202" s="35">
        <v>59464.993227969862</v>
      </c>
      <c r="M202" s="35">
        <v>320799.00677203009</v>
      </c>
      <c r="N202" s="35">
        <v>105076.92503286689</v>
      </c>
    </row>
    <row r="203" spans="1:14" x14ac:dyDescent="0.25">
      <c r="A203" t="s">
        <v>214</v>
      </c>
      <c r="B203" s="2">
        <v>45490</v>
      </c>
      <c r="C203" t="s">
        <v>616</v>
      </c>
      <c r="D203" t="s">
        <v>618</v>
      </c>
      <c r="E203" t="s">
        <v>620</v>
      </c>
      <c r="F203" t="s">
        <v>625</v>
      </c>
      <c r="G203" t="s">
        <v>632</v>
      </c>
      <c r="H203">
        <v>9</v>
      </c>
      <c r="I203" s="35">
        <v>281387</v>
      </c>
      <c r="J203" s="35">
        <v>2532483</v>
      </c>
      <c r="K203" s="35">
        <v>1438003.921197013</v>
      </c>
      <c r="L203" s="35">
        <v>387904.79920823261</v>
      </c>
      <c r="M203" s="35">
        <v>2144578.2007917669</v>
      </c>
      <c r="N203" s="35">
        <v>706574.27959475387</v>
      </c>
    </row>
    <row r="204" spans="1:14" x14ac:dyDescent="0.25">
      <c r="A204" t="s">
        <v>215</v>
      </c>
      <c r="B204" s="2">
        <v>45194</v>
      </c>
      <c r="C204" t="s">
        <v>617</v>
      </c>
      <c r="D204" t="s">
        <v>618</v>
      </c>
      <c r="E204" t="s">
        <v>624</v>
      </c>
      <c r="F204" t="s">
        <v>626</v>
      </c>
      <c r="G204" t="s">
        <v>631</v>
      </c>
      <c r="H204">
        <v>1</v>
      </c>
      <c r="I204" s="35">
        <v>184445</v>
      </c>
      <c r="J204" s="35">
        <v>184445</v>
      </c>
      <c r="K204" s="35">
        <v>137446.86349335109</v>
      </c>
      <c r="L204" s="35">
        <v>25514.485341704851</v>
      </c>
      <c r="M204" s="35">
        <v>158930.51465829511</v>
      </c>
      <c r="N204" s="35">
        <v>21483.651164944022</v>
      </c>
    </row>
    <row r="205" spans="1:14" x14ac:dyDescent="0.25">
      <c r="A205" t="s">
        <v>216</v>
      </c>
      <c r="B205" s="2">
        <v>45436</v>
      </c>
      <c r="C205" t="s">
        <v>617</v>
      </c>
      <c r="D205" t="s">
        <v>618</v>
      </c>
      <c r="E205" t="s">
        <v>622</v>
      </c>
      <c r="F205" t="s">
        <v>627</v>
      </c>
      <c r="G205" t="s">
        <v>633</v>
      </c>
      <c r="H205">
        <v>1</v>
      </c>
      <c r="I205" s="35">
        <v>453551</v>
      </c>
      <c r="J205" s="35">
        <v>453551</v>
      </c>
      <c r="K205" s="35">
        <v>353370.44015986542</v>
      </c>
      <c r="L205" s="35">
        <v>87593.304574246518</v>
      </c>
      <c r="M205" s="35">
        <v>365957.69542575348</v>
      </c>
      <c r="N205" s="35">
        <v>12587.25526588806</v>
      </c>
    </row>
    <row r="206" spans="1:14" x14ac:dyDescent="0.25">
      <c r="A206" t="s">
        <v>217</v>
      </c>
      <c r="B206" s="2">
        <v>45312</v>
      </c>
      <c r="C206" t="s">
        <v>617</v>
      </c>
      <c r="D206" t="s">
        <v>619</v>
      </c>
      <c r="E206" t="s">
        <v>623</v>
      </c>
      <c r="F206" t="s">
        <v>627</v>
      </c>
      <c r="G206" t="s">
        <v>631</v>
      </c>
      <c r="H206">
        <v>7</v>
      </c>
      <c r="I206" s="35">
        <v>466957</v>
      </c>
      <c r="J206" s="35">
        <v>3268699</v>
      </c>
      <c r="K206" s="35">
        <v>1727861.3444012441</v>
      </c>
      <c r="L206" s="35">
        <v>257282.78671507549</v>
      </c>
      <c r="M206" s="35">
        <v>3011416.2132849251</v>
      </c>
      <c r="N206" s="35">
        <v>1283554.868883681</v>
      </c>
    </row>
    <row r="207" spans="1:14" x14ac:dyDescent="0.25">
      <c r="A207" t="s">
        <v>218</v>
      </c>
      <c r="B207" s="2">
        <v>45313</v>
      </c>
      <c r="C207" t="s">
        <v>617</v>
      </c>
      <c r="D207" t="s">
        <v>619</v>
      </c>
      <c r="E207" t="s">
        <v>624</v>
      </c>
      <c r="F207" t="s">
        <v>627</v>
      </c>
      <c r="G207" t="s">
        <v>633</v>
      </c>
      <c r="H207">
        <v>3</v>
      </c>
      <c r="I207" s="35">
        <v>322836</v>
      </c>
      <c r="J207" s="35">
        <v>968508</v>
      </c>
      <c r="K207" s="35">
        <v>615019.6178260243</v>
      </c>
      <c r="L207" s="35">
        <v>25320.15472705373</v>
      </c>
      <c r="M207" s="35">
        <v>943187.84527294629</v>
      </c>
      <c r="N207" s="35">
        <v>328168.22744692198</v>
      </c>
    </row>
    <row r="208" spans="1:14" x14ac:dyDescent="0.25">
      <c r="A208" t="s">
        <v>219</v>
      </c>
      <c r="B208" s="2">
        <v>45039</v>
      </c>
      <c r="C208" t="s">
        <v>615</v>
      </c>
      <c r="D208" t="s">
        <v>619</v>
      </c>
      <c r="E208" t="s">
        <v>621</v>
      </c>
      <c r="F208" t="s">
        <v>630</v>
      </c>
      <c r="G208" t="s">
        <v>633</v>
      </c>
      <c r="H208">
        <v>2</v>
      </c>
      <c r="I208" s="35">
        <v>490511</v>
      </c>
      <c r="J208" s="35">
        <v>981022</v>
      </c>
      <c r="K208" s="35">
        <v>589826.02149741375</v>
      </c>
      <c r="L208" s="35">
        <v>131792.2337026654</v>
      </c>
      <c r="M208" s="35">
        <v>849229.76629733457</v>
      </c>
      <c r="N208" s="35">
        <v>259403.74479992082</v>
      </c>
    </row>
    <row r="209" spans="1:14" x14ac:dyDescent="0.25">
      <c r="A209" t="s">
        <v>220</v>
      </c>
      <c r="B209" s="2">
        <v>45539</v>
      </c>
      <c r="C209" t="s">
        <v>617</v>
      </c>
      <c r="D209" t="s">
        <v>618</v>
      </c>
      <c r="E209" t="s">
        <v>624</v>
      </c>
      <c r="F209" t="s">
        <v>626</v>
      </c>
      <c r="G209" t="s">
        <v>633</v>
      </c>
      <c r="H209">
        <v>9</v>
      </c>
      <c r="I209" s="35">
        <v>95541</v>
      </c>
      <c r="J209" s="35">
        <v>859869</v>
      </c>
      <c r="K209" s="35">
        <v>654537.9034517199</v>
      </c>
      <c r="L209" s="35">
        <v>125422.177765307</v>
      </c>
      <c r="M209" s="35">
        <v>734446.82223469298</v>
      </c>
      <c r="N209" s="35">
        <v>79908.91878297308</v>
      </c>
    </row>
    <row r="210" spans="1:14" x14ac:dyDescent="0.25">
      <c r="A210" t="s">
        <v>221</v>
      </c>
      <c r="B210" s="2">
        <v>45551</v>
      </c>
      <c r="C210" t="s">
        <v>614</v>
      </c>
      <c r="D210" t="s">
        <v>619</v>
      </c>
      <c r="E210" t="s">
        <v>624</v>
      </c>
      <c r="F210" t="s">
        <v>630</v>
      </c>
      <c r="G210" t="s">
        <v>632</v>
      </c>
      <c r="H210">
        <v>3</v>
      </c>
      <c r="I210" s="35">
        <v>215129</v>
      </c>
      <c r="J210" s="35">
        <v>645387</v>
      </c>
      <c r="K210" s="35">
        <v>338865.26823317801</v>
      </c>
      <c r="L210" s="35">
        <v>74227.323664572803</v>
      </c>
      <c r="M210" s="35">
        <v>571159.67633542721</v>
      </c>
      <c r="N210" s="35">
        <v>232294.4081022492</v>
      </c>
    </row>
    <row r="211" spans="1:14" x14ac:dyDescent="0.25">
      <c r="A211" t="s">
        <v>222</v>
      </c>
      <c r="B211" s="2">
        <v>45007</v>
      </c>
      <c r="C211" t="s">
        <v>614</v>
      </c>
      <c r="D211" t="s">
        <v>618</v>
      </c>
      <c r="E211" t="s">
        <v>622</v>
      </c>
      <c r="F211" t="s">
        <v>630</v>
      </c>
      <c r="G211" t="s">
        <v>633</v>
      </c>
      <c r="H211">
        <v>2</v>
      </c>
      <c r="I211" s="35">
        <v>116983</v>
      </c>
      <c r="J211" s="35">
        <v>233966</v>
      </c>
      <c r="K211" s="35">
        <v>131801.88768296011</v>
      </c>
      <c r="L211" s="35">
        <v>9677.6710369696393</v>
      </c>
      <c r="M211" s="35">
        <v>224288.32896303039</v>
      </c>
      <c r="N211" s="35">
        <v>92486.441280070285</v>
      </c>
    </row>
    <row r="212" spans="1:14" x14ac:dyDescent="0.25">
      <c r="A212" t="s">
        <v>223</v>
      </c>
      <c r="B212" s="2">
        <v>45625</v>
      </c>
      <c r="C212" t="s">
        <v>615</v>
      </c>
      <c r="D212" t="s">
        <v>618</v>
      </c>
      <c r="E212" t="s">
        <v>623</v>
      </c>
      <c r="F212" t="s">
        <v>628</v>
      </c>
      <c r="G212" t="s">
        <v>633</v>
      </c>
      <c r="H212">
        <v>8</v>
      </c>
      <c r="I212" s="35">
        <v>200655</v>
      </c>
      <c r="J212" s="35">
        <v>1605240</v>
      </c>
      <c r="K212" s="35">
        <v>1164987.682268203</v>
      </c>
      <c r="L212" s="35">
        <v>161954.57116106321</v>
      </c>
      <c r="M212" s="35">
        <v>1443285.4288389371</v>
      </c>
      <c r="N212" s="35">
        <v>278297.74657073407</v>
      </c>
    </row>
    <row r="213" spans="1:14" x14ac:dyDescent="0.25">
      <c r="A213" t="s">
        <v>224</v>
      </c>
      <c r="B213" s="2">
        <v>45039</v>
      </c>
      <c r="C213" t="s">
        <v>617</v>
      </c>
      <c r="D213" t="s">
        <v>619</v>
      </c>
      <c r="E213" t="s">
        <v>621</v>
      </c>
      <c r="F213" t="s">
        <v>625</v>
      </c>
      <c r="G213" t="s">
        <v>632</v>
      </c>
      <c r="H213">
        <v>6</v>
      </c>
      <c r="I213" s="35">
        <v>203837</v>
      </c>
      <c r="J213" s="35">
        <v>1223022</v>
      </c>
      <c r="K213" s="35">
        <v>630331.05173061136</v>
      </c>
      <c r="L213" s="35">
        <v>76362.983199649956</v>
      </c>
      <c r="M213" s="35">
        <v>1146659.01680035</v>
      </c>
      <c r="N213" s="35">
        <v>516327.96506973868</v>
      </c>
    </row>
    <row r="214" spans="1:14" x14ac:dyDescent="0.25">
      <c r="A214" t="s">
        <v>225</v>
      </c>
      <c r="B214" s="2">
        <v>44928</v>
      </c>
      <c r="C214" t="s">
        <v>617</v>
      </c>
      <c r="D214" t="s">
        <v>618</v>
      </c>
      <c r="E214" t="s">
        <v>620</v>
      </c>
      <c r="F214" t="s">
        <v>625</v>
      </c>
      <c r="G214" t="s">
        <v>632</v>
      </c>
      <c r="H214">
        <v>6</v>
      </c>
      <c r="I214" s="35">
        <v>240359</v>
      </c>
      <c r="J214" s="35">
        <v>1442154</v>
      </c>
      <c r="K214" s="35">
        <v>934170.56083159056</v>
      </c>
      <c r="L214" s="35">
        <v>123294.51269234069</v>
      </c>
      <c r="M214" s="35">
        <v>1318859.4873076589</v>
      </c>
      <c r="N214" s="35">
        <v>384688.92647606833</v>
      </c>
    </row>
    <row r="215" spans="1:14" x14ac:dyDescent="0.25">
      <c r="A215" t="s">
        <v>226</v>
      </c>
      <c r="B215" s="2">
        <v>45568</v>
      </c>
      <c r="C215" t="s">
        <v>617</v>
      </c>
      <c r="D215" t="s">
        <v>619</v>
      </c>
      <c r="E215" t="s">
        <v>620</v>
      </c>
      <c r="F215" t="s">
        <v>629</v>
      </c>
      <c r="G215" t="s">
        <v>633</v>
      </c>
      <c r="H215">
        <v>7</v>
      </c>
      <c r="I215" s="35">
        <v>467122</v>
      </c>
      <c r="J215" s="35">
        <v>3269854</v>
      </c>
      <c r="K215" s="35">
        <v>2068614.636732687</v>
      </c>
      <c r="L215" s="35">
        <v>421954.10821999563</v>
      </c>
      <c r="M215" s="35">
        <v>2847899.8917800039</v>
      </c>
      <c r="N215" s="35">
        <v>779285.2550473169</v>
      </c>
    </row>
    <row r="216" spans="1:14" x14ac:dyDescent="0.25">
      <c r="A216" t="s">
        <v>227</v>
      </c>
      <c r="B216" s="2">
        <v>45146</v>
      </c>
      <c r="C216" t="s">
        <v>616</v>
      </c>
      <c r="D216" t="s">
        <v>619</v>
      </c>
      <c r="E216" t="s">
        <v>624</v>
      </c>
      <c r="F216" t="s">
        <v>630</v>
      </c>
      <c r="G216" t="s">
        <v>632</v>
      </c>
      <c r="H216">
        <v>7</v>
      </c>
      <c r="I216" s="35">
        <v>432891</v>
      </c>
      <c r="J216" s="35">
        <v>3030237</v>
      </c>
      <c r="K216" s="35">
        <v>1819112.9476245991</v>
      </c>
      <c r="L216" s="35">
        <v>451635.45724944927</v>
      </c>
      <c r="M216" s="35">
        <v>2578601.5427505509</v>
      </c>
      <c r="N216" s="35">
        <v>759488.5951259518</v>
      </c>
    </row>
    <row r="217" spans="1:14" x14ac:dyDescent="0.25">
      <c r="A217" t="s">
        <v>228</v>
      </c>
      <c r="B217" s="2">
        <v>45492</v>
      </c>
      <c r="C217" t="s">
        <v>613</v>
      </c>
      <c r="D217" t="s">
        <v>619</v>
      </c>
      <c r="E217" t="s">
        <v>622</v>
      </c>
      <c r="F217" t="s">
        <v>626</v>
      </c>
      <c r="G217" t="s">
        <v>631</v>
      </c>
      <c r="H217">
        <v>6</v>
      </c>
      <c r="I217" s="35">
        <v>397247</v>
      </c>
      <c r="J217" s="35">
        <v>2383482</v>
      </c>
      <c r="K217" s="35">
        <v>1473877.803378294</v>
      </c>
      <c r="L217" s="35">
        <v>110700.67414378301</v>
      </c>
      <c r="M217" s="35">
        <v>2272781.3258562172</v>
      </c>
      <c r="N217" s="35">
        <v>798903.52247792319</v>
      </c>
    </row>
    <row r="218" spans="1:14" x14ac:dyDescent="0.25">
      <c r="A218" t="s">
        <v>229</v>
      </c>
      <c r="B218" s="2">
        <v>45151</v>
      </c>
      <c r="C218" t="s">
        <v>616</v>
      </c>
      <c r="D218" t="s">
        <v>619</v>
      </c>
      <c r="E218" t="s">
        <v>622</v>
      </c>
      <c r="F218" t="s">
        <v>628</v>
      </c>
      <c r="G218" t="s">
        <v>631</v>
      </c>
      <c r="H218">
        <v>4</v>
      </c>
      <c r="I218" s="35">
        <v>260747</v>
      </c>
      <c r="J218" s="35">
        <v>1042988</v>
      </c>
      <c r="K218" s="35">
        <v>687310.50186435704</v>
      </c>
      <c r="L218" s="35">
        <v>84549.897450088931</v>
      </c>
      <c r="M218" s="35">
        <v>958438.10254991101</v>
      </c>
      <c r="N218" s="35">
        <v>271127.60068555397</v>
      </c>
    </row>
    <row r="219" spans="1:14" x14ac:dyDescent="0.25">
      <c r="A219" t="s">
        <v>230</v>
      </c>
      <c r="B219" s="2">
        <v>45311</v>
      </c>
      <c r="C219" t="s">
        <v>613</v>
      </c>
      <c r="D219" t="s">
        <v>619</v>
      </c>
      <c r="E219" t="s">
        <v>620</v>
      </c>
      <c r="F219" t="s">
        <v>628</v>
      </c>
      <c r="G219" t="s">
        <v>632</v>
      </c>
      <c r="H219">
        <v>9</v>
      </c>
      <c r="I219" s="35">
        <v>227597</v>
      </c>
      <c r="J219" s="35">
        <v>2048373</v>
      </c>
      <c r="K219" s="35">
        <v>1123348.6620012261</v>
      </c>
      <c r="L219" s="35">
        <v>110268.6589313673</v>
      </c>
      <c r="M219" s="35">
        <v>1938104.3410686329</v>
      </c>
      <c r="N219" s="35">
        <v>814755.6790674068</v>
      </c>
    </row>
    <row r="220" spans="1:14" x14ac:dyDescent="0.25">
      <c r="A220" t="s">
        <v>231</v>
      </c>
      <c r="B220" s="2">
        <v>45329</v>
      </c>
      <c r="C220" t="s">
        <v>617</v>
      </c>
      <c r="D220" t="s">
        <v>618</v>
      </c>
      <c r="E220" t="s">
        <v>621</v>
      </c>
      <c r="F220" t="s">
        <v>625</v>
      </c>
      <c r="G220" t="s">
        <v>632</v>
      </c>
      <c r="H220">
        <v>6</v>
      </c>
      <c r="I220" s="35">
        <v>219302</v>
      </c>
      <c r="J220" s="35">
        <v>1315812</v>
      </c>
      <c r="K220" s="35">
        <v>883697.71217882726</v>
      </c>
      <c r="L220" s="35">
        <v>52272.37221976275</v>
      </c>
      <c r="M220" s="35">
        <v>1263539.627780237</v>
      </c>
      <c r="N220" s="35">
        <v>379841.91560140974</v>
      </c>
    </row>
    <row r="221" spans="1:14" x14ac:dyDescent="0.25">
      <c r="A221" t="s">
        <v>232</v>
      </c>
      <c r="B221" s="2">
        <v>45564</v>
      </c>
      <c r="C221" t="s">
        <v>617</v>
      </c>
      <c r="D221" t="s">
        <v>618</v>
      </c>
      <c r="E221" t="s">
        <v>623</v>
      </c>
      <c r="F221" t="s">
        <v>630</v>
      </c>
      <c r="G221" t="s">
        <v>633</v>
      </c>
      <c r="H221">
        <v>4</v>
      </c>
      <c r="I221" s="35">
        <v>462736</v>
      </c>
      <c r="J221" s="35">
        <v>1850944</v>
      </c>
      <c r="K221" s="35">
        <v>1372715.04119715</v>
      </c>
      <c r="L221" s="35">
        <v>290001.17490559543</v>
      </c>
      <c r="M221" s="35">
        <v>1560942.8250944051</v>
      </c>
      <c r="N221" s="35">
        <v>188227.78389725508</v>
      </c>
    </row>
    <row r="222" spans="1:14" x14ac:dyDescent="0.25">
      <c r="A222" t="s">
        <v>233</v>
      </c>
      <c r="B222" s="2">
        <v>45056</v>
      </c>
      <c r="C222" t="s">
        <v>616</v>
      </c>
      <c r="D222" t="s">
        <v>618</v>
      </c>
      <c r="E222" t="s">
        <v>621</v>
      </c>
      <c r="F222" t="s">
        <v>629</v>
      </c>
      <c r="G222" t="s">
        <v>632</v>
      </c>
      <c r="H222">
        <v>3</v>
      </c>
      <c r="I222" s="35">
        <v>495150</v>
      </c>
      <c r="J222" s="35">
        <v>1485450</v>
      </c>
      <c r="K222" s="35">
        <v>1081479.315947037</v>
      </c>
      <c r="L222" s="35">
        <v>270129.8829902861</v>
      </c>
      <c r="M222" s="35">
        <v>1215320.117009714</v>
      </c>
      <c r="N222" s="35">
        <v>133840.80106267706</v>
      </c>
    </row>
    <row r="223" spans="1:14" x14ac:dyDescent="0.25">
      <c r="A223" t="s">
        <v>234</v>
      </c>
      <c r="B223" s="2">
        <v>44979</v>
      </c>
      <c r="C223" t="s">
        <v>616</v>
      </c>
      <c r="D223" t="s">
        <v>619</v>
      </c>
      <c r="E223" t="s">
        <v>623</v>
      </c>
      <c r="F223" t="s">
        <v>630</v>
      </c>
      <c r="G223" t="s">
        <v>633</v>
      </c>
      <c r="H223">
        <v>4</v>
      </c>
      <c r="I223" s="35">
        <v>337710</v>
      </c>
      <c r="J223" s="35">
        <v>1350840</v>
      </c>
      <c r="K223" s="35">
        <v>737788.24417696113</v>
      </c>
      <c r="L223" s="35">
        <v>100024.8891420307</v>
      </c>
      <c r="M223" s="35">
        <v>1250815.1108579689</v>
      </c>
      <c r="N223" s="35">
        <v>513026.86668100778</v>
      </c>
    </row>
    <row r="224" spans="1:14" x14ac:dyDescent="0.25">
      <c r="A224" t="s">
        <v>235</v>
      </c>
      <c r="B224" s="2">
        <v>45610</v>
      </c>
      <c r="C224" t="s">
        <v>613</v>
      </c>
      <c r="D224" t="s">
        <v>619</v>
      </c>
      <c r="E224" t="s">
        <v>620</v>
      </c>
      <c r="F224" t="s">
        <v>627</v>
      </c>
      <c r="G224" t="s">
        <v>631</v>
      </c>
      <c r="H224">
        <v>3</v>
      </c>
      <c r="I224" s="35">
        <v>385337</v>
      </c>
      <c r="J224" s="35">
        <v>1156011</v>
      </c>
      <c r="K224" s="35">
        <v>629765.70862959337</v>
      </c>
      <c r="L224" s="35">
        <v>173697.3401288485</v>
      </c>
      <c r="M224" s="35">
        <v>982313.65987115144</v>
      </c>
      <c r="N224" s="35">
        <v>352547.95124155807</v>
      </c>
    </row>
    <row r="225" spans="1:14" x14ac:dyDescent="0.25">
      <c r="A225" t="s">
        <v>236</v>
      </c>
      <c r="B225" s="2">
        <v>45656</v>
      </c>
      <c r="C225" t="s">
        <v>614</v>
      </c>
      <c r="D225" t="s">
        <v>619</v>
      </c>
      <c r="E225" t="s">
        <v>623</v>
      </c>
      <c r="F225" t="s">
        <v>630</v>
      </c>
      <c r="G225" t="s">
        <v>632</v>
      </c>
      <c r="H225">
        <v>2</v>
      </c>
      <c r="I225" s="35">
        <v>473350</v>
      </c>
      <c r="J225" s="35">
        <v>946700</v>
      </c>
      <c r="K225" s="35">
        <v>549514.20218323288</v>
      </c>
      <c r="L225" s="35">
        <v>169837.08808825759</v>
      </c>
      <c r="M225" s="35">
        <v>776862.91191174241</v>
      </c>
      <c r="N225" s="35">
        <v>227348.70972850954</v>
      </c>
    </row>
    <row r="226" spans="1:14" x14ac:dyDescent="0.25">
      <c r="A226" t="s">
        <v>237</v>
      </c>
      <c r="B226" s="2">
        <v>45598</v>
      </c>
      <c r="C226" t="s">
        <v>613</v>
      </c>
      <c r="D226" t="s">
        <v>618</v>
      </c>
      <c r="E226" t="s">
        <v>622</v>
      </c>
      <c r="F226" t="s">
        <v>627</v>
      </c>
      <c r="G226" t="s">
        <v>633</v>
      </c>
      <c r="H226">
        <v>5</v>
      </c>
      <c r="I226" s="35">
        <v>453561</v>
      </c>
      <c r="J226" s="35">
        <v>2267805</v>
      </c>
      <c r="K226" s="35">
        <v>1379556.6209309511</v>
      </c>
      <c r="L226" s="35">
        <v>383768.94305230241</v>
      </c>
      <c r="M226" s="35">
        <v>1884036.0569476979</v>
      </c>
      <c r="N226" s="35">
        <v>504479.4360167468</v>
      </c>
    </row>
    <row r="227" spans="1:14" x14ac:dyDescent="0.25">
      <c r="A227" t="s">
        <v>238</v>
      </c>
      <c r="B227" s="2">
        <v>45636</v>
      </c>
      <c r="C227" t="s">
        <v>616</v>
      </c>
      <c r="D227" t="s">
        <v>619</v>
      </c>
      <c r="E227" t="s">
        <v>624</v>
      </c>
      <c r="F227" t="s">
        <v>627</v>
      </c>
      <c r="G227" t="s">
        <v>633</v>
      </c>
      <c r="H227">
        <v>2</v>
      </c>
      <c r="I227" s="35">
        <v>302084</v>
      </c>
      <c r="J227" s="35">
        <v>604168</v>
      </c>
      <c r="K227" s="35">
        <v>376116.73751251999</v>
      </c>
      <c r="L227" s="35">
        <v>22089.999865393409</v>
      </c>
      <c r="M227" s="35">
        <v>582078.00013460661</v>
      </c>
      <c r="N227" s="35">
        <v>205961.26262208662</v>
      </c>
    </row>
    <row r="228" spans="1:14" x14ac:dyDescent="0.25">
      <c r="A228" t="s">
        <v>239</v>
      </c>
      <c r="B228" s="2">
        <v>45342</v>
      </c>
      <c r="C228" t="s">
        <v>616</v>
      </c>
      <c r="D228" t="s">
        <v>618</v>
      </c>
      <c r="E228" t="s">
        <v>624</v>
      </c>
      <c r="F228" t="s">
        <v>629</v>
      </c>
      <c r="G228" t="s">
        <v>631</v>
      </c>
      <c r="H228">
        <v>6</v>
      </c>
      <c r="I228" s="35">
        <v>171015</v>
      </c>
      <c r="J228" s="35">
        <v>1026090</v>
      </c>
      <c r="K228" s="35">
        <v>722274.1551661581</v>
      </c>
      <c r="L228" s="35">
        <v>196248.307340409</v>
      </c>
      <c r="M228" s="35">
        <v>829841.69265959098</v>
      </c>
      <c r="N228" s="35">
        <v>107567.53749343287</v>
      </c>
    </row>
    <row r="229" spans="1:14" x14ac:dyDescent="0.25">
      <c r="A229" t="s">
        <v>240</v>
      </c>
      <c r="B229" s="2">
        <v>45173</v>
      </c>
      <c r="C229" t="s">
        <v>615</v>
      </c>
      <c r="D229" t="s">
        <v>618</v>
      </c>
      <c r="E229" t="s">
        <v>620</v>
      </c>
      <c r="F229" t="s">
        <v>626</v>
      </c>
      <c r="G229" t="s">
        <v>632</v>
      </c>
      <c r="H229">
        <v>3</v>
      </c>
      <c r="I229" s="35">
        <v>222257</v>
      </c>
      <c r="J229" s="35">
        <v>666771</v>
      </c>
      <c r="K229" s="35">
        <v>344723.3605306939</v>
      </c>
      <c r="L229" s="35">
        <v>50231.385372318633</v>
      </c>
      <c r="M229" s="35">
        <v>616539.61462768132</v>
      </c>
      <c r="N229" s="35">
        <v>271816.25409698742</v>
      </c>
    </row>
    <row r="230" spans="1:14" x14ac:dyDescent="0.25">
      <c r="A230" t="s">
        <v>241</v>
      </c>
      <c r="B230" s="2">
        <v>45365</v>
      </c>
      <c r="C230" t="s">
        <v>616</v>
      </c>
      <c r="D230" t="s">
        <v>619</v>
      </c>
      <c r="E230" t="s">
        <v>622</v>
      </c>
      <c r="F230" t="s">
        <v>625</v>
      </c>
      <c r="G230" t="s">
        <v>631</v>
      </c>
      <c r="H230">
        <v>6</v>
      </c>
      <c r="I230" s="35">
        <v>296536</v>
      </c>
      <c r="J230" s="35">
        <v>1779216</v>
      </c>
      <c r="K230" s="35">
        <v>908115.06903668551</v>
      </c>
      <c r="L230" s="35">
        <v>120716.4824422137</v>
      </c>
      <c r="M230" s="35">
        <v>1658499.5175577861</v>
      </c>
      <c r="N230" s="35">
        <v>750384.44852110057</v>
      </c>
    </row>
    <row r="231" spans="1:14" x14ac:dyDescent="0.25">
      <c r="A231" t="s">
        <v>242</v>
      </c>
      <c r="B231" s="2">
        <v>45129</v>
      </c>
      <c r="C231" t="s">
        <v>615</v>
      </c>
      <c r="D231" t="s">
        <v>619</v>
      </c>
      <c r="E231" t="s">
        <v>621</v>
      </c>
      <c r="F231" t="s">
        <v>630</v>
      </c>
      <c r="G231" t="s">
        <v>633</v>
      </c>
      <c r="H231">
        <v>9</v>
      </c>
      <c r="I231" s="35">
        <v>274021</v>
      </c>
      <c r="J231" s="35">
        <v>2466189</v>
      </c>
      <c r="K231" s="35">
        <v>1523052.1557948231</v>
      </c>
      <c r="L231" s="35">
        <v>30793.490517572369</v>
      </c>
      <c r="M231" s="35">
        <v>2435395.509482428</v>
      </c>
      <c r="N231" s="35">
        <v>912343.35368760489</v>
      </c>
    </row>
    <row r="232" spans="1:14" x14ac:dyDescent="0.25">
      <c r="A232" t="s">
        <v>243</v>
      </c>
      <c r="B232" s="2">
        <v>45110</v>
      </c>
      <c r="C232" t="s">
        <v>614</v>
      </c>
      <c r="D232" t="s">
        <v>618</v>
      </c>
      <c r="E232" t="s">
        <v>622</v>
      </c>
      <c r="F232" t="s">
        <v>627</v>
      </c>
      <c r="G232" t="s">
        <v>633</v>
      </c>
      <c r="H232">
        <v>1</v>
      </c>
      <c r="I232" s="35">
        <v>180956</v>
      </c>
      <c r="J232" s="35">
        <v>180956</v>
      </c>
      <c r="K232" s="35">
        <v>128324.7859223561</v>
      </c>
      <c r="L232" s="35">
        <v>17595.207950440639</v>
      </c>
      <c r="M232" s="35">
        <v>163360.79204955939</v>
      </c>
      <c r="N232" s="35">
        <v>35036.006127203291</v>
      </c>
    </row>
    <row r="233" spans="1:14" x14ac:dyDescent="0.25">
      <c r="A233" t="s">
        <v>244</v>
      </c>
      <c r="B233" s="2">
        <v>45049</v>
      </c>
      <c r="C233" t="s">
        <v>613</v>
      </c>
      <c r="D233" t="s">
        <v>619</v>
      </c>
      <c r="E233" t="s">
        <v>624</v>
      </c>
      <c r="F233" t="s">
        <v>630</v>
      </c>
      <c r="G233" t="s">
        <v>632</v>
      </c>
      <c r="H233">
        <v>6</v>
      </c>
      <c r="I233" s="35">
        <v>120744</v>
      </c>
      <c r="J233" s="35">
        <v>724464</v>
      </c>
      <c r="K233" s="35">
        <v>404273.08268988761</v>
      </c>
      <c r="L233" s="35">
        <v>15795.28800833796</v>
      </c>
      <c r="M233" s="35">
        <v>708668.71199166204</v>
      </c>
      <c r="N233" s="35">
        <v>304395.62930177443</v>
      </c>
    </row>
    <row r="234" spans="1:14" x14ac:dyDescent="0.25">
      <c r="A234" t="s">
        <v>245</v>
      </c>
      <c r="B234" s="2">
        <v>45327</v>
      </c>
      <c r="C234" t="s">
        <v>613</v>
      </c>
      <c r="D234" t="s">
        <v>618</v>
      </c>
      <c r="E234" t="s">
        <v>624</v>
      </c>
      <c r="F234" t="s">
        <v>626</v>
      </c>
      <c r="G234" t="s">
        <v>633</v>
      </c>
      <c r="H234">
        <v>9</v>
      </c>
      <c r="I234" s="35">
        <v>345599</v>
      </c>
      <c r="J234" s="35">
        <v>3110391</v>
      </c>
      <c r="K234" s="35">
        <v>2153794.4294877341</v>
      </c>
      <c r="L234" s="35">
        <v>154611.20443085549</v>
      </c>
      <c r="M234" s="35">
        <v>2955779.7955691451</v>
      </c>
      <c r="N234" s="35">
        <v>801985.36608141102</v>
      </c>
    </row>
    <row r="235" spans="1:14" x14ac:dyDescent="0.25">
      <c r="A235" t="s">
        <v>246</v>
      </c>
      <c r="B235" s="2">
        <v>45220</v>
      </c>
      <c r="C235" t="s">
        <v>615</v>
      </c>
      <c r="D235" t="s">
        <v>619</v>
      </c>
      <c r="E235" t="s">
        <v>622</v>
      </c>
      <c r="F235" t="s">
        <v>625</v>
      </c>
      <c r="G235" t="s">
        <v>632</v>
      </c>
      <c r="H235">
        <v>4</v>
      </c>
      <c r="I235" s="35">
        <v>471234</v>
      </c>
      <c r="J235" s="35">
        <v>1884936</v>
      </c>
      <c r="K235" s="35">
        <v>1089395.823304991</v>
      </c>
      <c r="L235" s="35">
        <v>119483.31154070651</v>
      </c>
      <c r="M235" s="35">
        <v>1765452.688459293</v>
      </c>
      <c r="N235" s="35">
        <v>676056.86515430198</v>
      </c>
    </row>
    <row r="236" spans="1:14" x14ac:dyDescent="0.25">
      <c r="A236" t="s">
        <v>247</v>
      </c>
      <c r="B236" s="2">
        <v>45206</v>
      </c>
      <c r="C236" t="s">
        <v>613</v>
      </c>
      <c r="D236" t="s">
        <v>619</v>
      </c>
      <c r="E236" t="s">
        <v>622</v>
      </c>
      <c r="F236" t="s">
        <v>626</v>
      </c>
      <c r="G236" t="s">
        <v>631</v>
      </c>
      <c r="H236">
        <v>2</v>
      </c>
      <c r="I236" s="35">
        <v>366363</v>
      </c>
      <c r="J236" s="35">
        <v>732726</v>
      </c>
      <c r="K236" s="35">
        <v>561140.49904994783</v>
      </c>
      <c r="L236" s="35">
        <v>118529.61534135359</v>
      </c>
      <c r="M236" s="35">
        <v>614196.38465864642</v>
      </c>
      <c r="N236" s="35">
        <v>53055.885608698591</v>
      </c>
    </row>
    <row r="237" spans="1:14" x14ac:dyDescent="0.25">
      <c r="A237" t="s">
        <v>248</v>
      </c>
      <c r="B237" s="2">
        <v>45536</v>
      </c>
      <c r="C237" t="s">
        <v>616</v>
      </c>
      <c r="D237" t="s">
        <v>618</v>
      </c>
      <c r="E237" t="s">
        <v>624</v>
      </c>
      <c r="F237" t="s">
        <v>625</v>
      </c>
      <c r="G237" t="s">
        <v>632</v>
      </c>
      <c r="H237">
        <v>4</v>
      </c>
      <c r="I237" s="35">
        <v>358135</v>
      </c>
      <c r="J237" s="35">
        <v>1432540</v>
      </c>
      <c r="K237" s="35">
        <v>1101203.5018279101</v>
      </c>
      <c r="L237" s="35">
        <v>250834.5022476275</v>
      </c>
      <c r="M237" s="35">
        <v>1181705.4977523719</v>
      </c>
      <c r="N237" s="35">
        <v>80501.995924461866</v>
      </c>
    </row>
    <row r="238" spans="1:14" x14ac:dyDescent="0.25">
      <c r="A238" t="s">
        <v>249</v>
      </c>
      <c r="B238" s="2">
        <v>45124</v>
      </c>
      <c r="C238" t="s">
        <v>617</v>
      </c>
      <c r="D238" t="s">
        <v>619</v>
      </c>
      <c r="E238" t="s">
        <v>621</v>
      </c>
      <c r="F238" t="s">
        <v>628</v>
      </c>
      <c r="G238" t="s">
        <v>632</v>
      </c>
      <c r="H238">
        <v>1</v>
      </c>
      <c r="I238" s="35">
        <v>123616</v>
      </c>
      <c r="J238" s="35">
        <v>123616</v>
      </c>
      <c r="K238" s="35">
        <v>72832.836513332135</v>
      </c>
      <c r="L238" s="35">
        <v>7477.9352598634077</v>
      </c>
      <c r="M238" s="35">
        <v>116138.0647401366</v>
      </c>
      <c r="N238" s="35">
        <v>43305.228226804466</v>
      </c>
    </row>
    <row r="239" spans="1:14" x14ac:dyDescent="0.25">
      <c r="A239" t="s">
        <v>250</v>
      </c>
      <c r="B239" s="2">
        <v>45437</v>
      </c>
      <c r="C239" t="s">
        <v>615</v>
      </c>
      <c r="D239" t="s">
        <v>618</v>
      </c>
      <c r="E239" t="s">
        <v>620</v>
      </c>
      <c r="F239" t="s">
        <v>625</v>
      </c>
      <c r="G239" t="s">
        <v>633</v>
      </c>
      <c r="H239">
        <v>3</v>
      </c>
      <c r="I239" s="35">
        <v>137438</v>
      </c>
      <c r="J239" s="35">
        <v>412314</v>
      </c>
      <c r="K239" s="35">
        <v>234605.8934014799</v>
      </c>
      <c r="L239" s="35">
        <v>70810.651432567058</v>
      </c>
      <c r="M239" s="35">
        <v>341503.34856743301</v>
      </c>
      <c r="N239" s="35">
        <v>106897.45516595311</v>
      </c>
    </row>
    <row r="240" spans="1:14" x14ac:dyDescent="0.25">
      <c r="A240" t="s">
        <v>251</v>
      </c>
      <c r="B240" s="2">
        <v>45070</v>
      </c>
      <c r="C240" t="s">
        <v>613</v>
      </c>
      <c r="D240" t="s">
        <v>619</v>
      </c>
      <c r="E240" t="s">
        <v>620</v>
      </c>
      <c r="F240" t="s">
        <v>629</v>
      </c>
      <c r="G240" t="s">
        <v>633</v>
      </c>
      <c r="H240">
        <v>9</v>
      </c>
      <c r="I240" s="35">
        <v>166841</v>
      </c>
      <c r="J240" s="35">
        <v>1501569</v>
      </c>
      <c r="K240" s="35">
        <v>936064.88820945576</v>
      </c>
      <c r="L240" s="35">
        <v>257438.28027908399</v>
      </c>
      <c r="M240" s="35">
        <v>1244130.7197209159</v>
      </c>
      <c r="N240" s="35">
        <v>308065.83151146013</v>
      </c>
    </row>
    <row r="241" spans="1:14" x14ac:dyDescent="0.25">
      <c r="A241" t="s">
        <v>252</v>
      </c>
      <c r="B241" s="2">
        <v>45535</v>
      </c>
      <c r="C241" t="s">
        <v>615</v>
      </c>
      <c r="D241" t="s">
        <v>618</v>
      </c>
      <c r="E241" t="s">
        <v>622</v>
      </c>
      <c r="F241" t="s">
        <v>626</v>
      </c>
      <c r="G241" t="s">
        <v>632</v>
      </c>
      <c r="H241">
        <v>5</v>
      </c>
      <c r="I241" s="35">
        <v>190558</v>
      </c>
      <c r="J241" s="35">
        <v>952790</v>
      </c>
      <c r="K241" s="35">
        <v>545147.82671313826</v>
      </c>
      <c r="L241" s="35">
        <v>145710.35580344079</v>
      </c>
      <c r="M241" s="35">
        <v>807079.64419655921</v>
      </c>
      <c r="N241" s="35">
        <v>261931.81748342095</v>
      </c>
    </row>
    <row r="242" spans="1:14" x14ac:dyDescent="0.25">
      <c r="A242" t="s">
        <v>253</v>
      </c>
      <c r="B242" s="2">
        <v>45127</v>
      </c>
      <c r="C242" t="s">
        <v>615</v>
      </c>
      <c r="D242" t="s">
        <v>618</v>
      </c>
      <c r="E242" t="s">
        <v>620</v>
      </c>
      <c r="F242" t="s">
        <v>627</v>
      </c>
      <c r="G242" t="s">
        <v>633</v>
      </c>
      <c r="H242">
        <v>6</v>
      </c>
      <c r="I242" s="35">
        <v>219934</v>
      </c>
      <c r="J242" s="35">
        <v>1319604</v>
      </c>
      <c r="K242" s="35">
        <v>925986.12274293159</v>
      </c>
      <c r="L242" s="35">
        <v>38715.891846977916</v>
      </c>
      <c r="M242" s="35">
        <v>1280888.1081530219</v>
      </c>
      <c r="N242" s="35">
        <v>354901.9854100903</v>
      </c>
    </row>
    <row r="243" spans="1:14" x14ac:dyDescent="0.25">
      <c r="A243" t="s">
        <v>254</v>
      </c>
      <c r="B243" s="2">
        <v>45050</v>
      </c>
      <c r="C243" t="s">
        <v>617</v>
      </c>
      <c r="D243" t="s">
        <v>619</v>
      </c>
      <c r="E243" t="s">
        <v>624</v>
      </c>
      <c r="F243" t="s">
        <v>628</v>
      </c>
      <c r="G243" t="s">
        <v>633</v>
      </c>
      <c r="H243">
        <v>3</v>
      </c>
      <c r="I243" s="35">
        <v>302734</v>
      </c>
      <c r="J243" s="35">
        <v>908202</v>
      </c>
      <c r="K243" s="35">
        <v>679171.07959083666</v>
      </c>
      <c r="L243" s="35">
        <v>125390.51804018721</v>
      </c>
      <c r="M243" s="35">
        <v>782811.48195981281</v>
      </c>
      <c r="N243" s="35">
        <v>103640.40236897615</v>
      </c>
    </row>
    <row r="244" spans="1:14" x14ac:dyDescent="0.25">
      <c r="A244" t="s">
        <v>255</v>
      </c>
      <c r="B244" s="2">
        <v>45113</v>
      </c>
      <c r="C244" t="s">
        <v>616</v>
      </c>
      <c r="D244" t="s">
        <v>618</v>
      </c>
      <c r="E244" t="s">
        <v>624</v>
      </c>
      <c r="F244" t="s">
        <v>629</v>
      </c>
      <c r="G244" t="s">
        <v>633</v>
      </c>
      <c r="H244">
        <v>5</v>
      </c>
      <c r="I244" s="35">
        <v>108870</v>
      </c>
      <c r="J244" s="35">
        <v>544350</v>
      </c>
      <c r="K244" s="35">
        <v>382094.3104384563</v>
      </c>
      <c r="L244" s="35">
        <v>102884.76991088651</v>
      </c>
      <c r="M244" s="35">
        <v>441465.23008911352</v>
      </c>
      <c r="N244" s="35">
        <v>59370.919650657219</v>
      </c>
    </row>
    <row r="245" spans="1:14" x14ac:dyDescent="0.25">
      <c r="A245" t="s">
        <v>256</v>
      </c>
      <c r="B245" s="2">
        <v>45252</v>
      </c>
      <c r="C245" t="s">
        <v>615</v>
      </c>
      <c r="D245" t="s">
        <v>619</v>
      </c>
      <c r="E245" t="s">
        <v>622</v>
      </c>
      <c r="F245" t="s">
        <v>630</v>
      </c>
      <c r="G245" t="s">
        <v>632</v>
      </c>
      <c r="H245">
        <v>8</v>
      </c>
      <c r="I245" s="35">
        <v>136694</v>
      </c>
      <c r="J245" s="35">
        <v>1093552</v>
      </c>
      <c r="K245" s="35">
        <v>817217.02408712625</v>
      </c>
      <c r="L245" s="35">
        <v>149278.70112735641</v>
      </c>
      <c r="M245" s="35">
        <v>944273.29887264362</v>
      </c>
      <c r="N245" s="35">
        <v>127056.27478551737</v>
      </c>
    </row>
    <row r="246" spans="1:14" x14ac:dyDescent="0.25">
      <c r="A246" t="s">
        <v>257</v>
      </c>
      <c r="B246" s="2">
        <v>45390</v>
      </c>
      <c r="C246" t="s">
        <v>613</v>
      </c>
      <c r="D246" t="s">
        <v>619</v>
      </c>
      <c r="E246" t="s">
        <v>622</v>
      </c>
      <c r="F246" t="s">
        <v>626</v>
      </c>
      <c r="G246" t="s">
        <v>633</v>
      </c>
      <c r="H246">
        <v>6</v>
      </c>
      <c r="I246" s="35">
        <v>287068</v>
      </c>
      <c r="J246" s="35">
        <v>1722408</v>
      </c>
      <c r="K246" s="35">
        <v>1066338.7428370351</v>
      </c>
      <c r="L246" s="35">
        <v>114235.9027676252</v>
      </c>
      <c r="M246" s="35">
        <v>1608172.0972323751</v>
      </c>
      <c r="N246" s="35">
        <v>541833.35439533996</v>
      </c>
    </row>
    <row r="247" spans="1:14" x14ac:dyDescent="0.25">
      <c r="A247" t="s">
        <v>258</v>
      </c>
      <c r="B247" s="2">
        <v>45275</v>
      </c>
      <c r="C247" t="s">
        <v>614</v>
      </c>
      <c r="D247" t="s">
        <v>619</v>
      </c>
      <c r="E247" t="s">
        <v>622</v>
      </c>
      <c r="F247" t="s">
        <v>627</v>
      </c>
      <c r="G247" t="s">
        <v>632</v>
      </c>
      <c r="H247">
        <v>4</v>
      </c>
      <c r="I247" s="35">
        <v>356000</v>
      </c>
      <c r="J247" s="35">
        <v>1424000</v>
      </c>
      <c r="K247" s="35">
        <v>778778.60988682532</v>
      </c>
      <c r="L247" s="35">
        <v>142564.98960430079</v>
      </c>
      <c r="M247" s="35">
        <v>1281435.0103956989</v>
      </c>
      <c r="N247" s="35">
        <v>502656.40050887363</v>
      </c>
    </row>
    <row r="248" spans="1:14" x14ac:dyDescent="0.25">
      <c r="A248" t="s">
        <v>259</v>
      </c>
      <c r="B248" s="2">
        <v>45586</v>
      </c>
      <c r="C248" t="s">
        <v>615</v>
      </c>
      <c r="D248" t="s">
        <v>618</v>
      </c>
      <c r="E248" t="s">
        <v>621</v>
      </c>
      <c r="F248" t="s">
        <v>625</v>
      </c>
      <c r="G248" t="s">
        <v>633</v>
      </c>
      <c r="H248">
        <v>2</v>
      </c>
      <c r="I248" s="35">
        <v>151407</v>
      </c>
      <c r="J248" s="35">
        <v>302814</v>
      </c>
      <c r="K248" s="35">
        <v>218445.56345557631</v>
      </c>
      <c r="L248" s="35">
        <v>39106.916655461187</v>
      </c>
      <c r="M248" s="35">
        <v>263707.08334453881</v>
      </c>
      <c r="N248" s="35">
        <v>45261.519888962503</v>
      </c>
    </row>
    <row r="249" spans="1:14" x14ac:dyDescent="0.25">
      <c r="A249" t="s">
        <v>260</v>
      </c>
      <c r="B249" s="2">
        <v>45329</v>
      </c>
      <c r="C249" t="s">
        <v>615</v>
      </c>
      <c r="D249" t="s">
        <v>618</v>
      </c>
      <c r="E249" t="s">
        <v>620</v>
      </c>
      <c r="F249" t="s">
        <v>627</v>
      </c>
      <c r="G249" t="s">
        <v>631</v>
      </c>
      <c r="H249">
        <v>9</v>
      </c>
      <c r="I249" s="35">
        <v>81379</v>
      </c>
      <c r="J249" s="35">
        <v>732411</v>
      </c>
      <c r="K249" s="35">
        <v>445410.14783556922</v>
      </c>
      <c r="L249" s="35">
        <v>74789.476725450411</v>
      </c>
      <c r="M249" s="35">
        <v>657621.52327454963</v>
      </c>
      <c r="N249" s="35">
        <v>212211.37543898041</v>
      </c>
    </row>
    <row r="250" spans="1:14" x14ac:dyDescent="0.25">
      <c r="A250" t="s">
        <v>261</v>
      </c>
      <c r="B250" s="2">
        <v>45272</v>
      </c>
      <c r="C250" t="s">
        <v>617</v>
      </c>
      <c r="D250" t="s">
        <v>619</v>
      </c>
      <c r="E250" t="s">
        <v>622</v>
      </c>
      <c r="F250" t="s">
        <v>630</v>
      </c>
      <c r="G250" t="s">
        <v>633</v>
      </c>
      <c r="H250">
        <v>1</v>
      </c>
      <c r="I250" s="35">
        <v>376873</v>
      </c>
      <c r="J250" s="35">
        <v>376873</v>
      </c>
      <c r="K250" s="35">
        <v>264331.65491497371</v>
      </c>
      <c r="L250" s="35">
        <v>9041.4050017951577</v>
      </c>
      <c r="M250" s="35">
        <v>367831.59499820479</v>
      </c>
      <c r="N250" s="35">
        <v>103499.94008323108</v>
      </c>
    </row>
    <row r="251" spans="1:14" x14ac:dyDescent="0.25">
      <c r="A251" t="s">
        <v>262</v>
      </c>
      <c r="B251" s="2">
        <v>45437</v>
      </c>
      <c r="C251" t="s">
        <v>616</v>
      </c>
      <c r="D251" t="s">
        <v>619</v>
      </c>
      <c r="E251" t="s">
        <v>623</v>
      </c>
      <c r="F251" t="s">
        <v>628</v>
      </c>
      <c r="G251" t="s">
        <v>633</v>
      </c>
      <c r="H251">
        <v>1</v>
      </c>
      <c r="I251" s="35">
        <v>471594</v>
      </c>
      <c r="J251" s="35">
        <v>471594</v>
      </c>
      <c r="K251" s="35">
        <v>274087.2177524846</v>
      </c>
      <c r="L251" s="35">
        <v>29433.50621472501</v>
      </c>
      <c r="M251" s="35">
        <v>442160.49378527497</v>
      </c>
      <c r="N251" s="35">
        <v>168073.27603279037</v>
      </c>
    </row>
    <row r="252" spans="1:14" x14ac:dyDescent="0.25">
      <c r="A252" t="s">
        <v>263</v>
      </c>
      <c r="B252" s="2">
        <v>45073</v>
      </c>
      <c r="C252" t="s">
        <v>614</v>
      </c>
      <c r="D252" t="s">
        <v>618</v>
      </c>
      <c r="E252" t="s">
        <v>623</v>
      </c>
      <c r="F252" t="s">
        <v>628</v>
      </c>
      <c r="G252" t="s">
        <v>632</v>
      </c>
      <c r="H252">
        <v>4</v>
      </c>
      <c r="I252" s="35">
        <v>286500</v>
      </c>
      <c r="J252" s="35">
        <v>1146000</v>
      </c>
      <c r="K252" s="35">
        <v>600926.74844653415</v>
      </c>
      <c r="L252" s="35">
        <v>183909.17020289259</v>
      </c>
      <c r="M252" s="35">
        <v>962090.82979710738</v>
      </c>
      <c r="N252" s="35">
        <v>361164.08135057322</v>
      </c>
    </row>
    <row r="253" spans="1:14" x14ac:dyDescent="0.25">
      <c r="A253" t="s">
        <v>264</v>
      </c>
      <c r="B253" s="2">
        <v>45074</v>
      </c>
      <c r="C253" t="s">
        <v>613</v>
      </c>
      <c r="D253" t="s">
        <v>619</v>
      </c>
      <c r="E253" t="s">
        <v>624</v>
      </c>
      <c r="F253" t="s">
        <v>626</v>
      </c>
      <c r="G253" t="s">
        <v>632</v>
      </c>
      <c r="H253">
        <v>7</v>
      </c>
      <c r="I253" s="35">
        <v>104353</v>
      </c>
      <c r="J253" s="35">
        <v>730471</v>
      </c>
      <c r="K253" s="35">
        <v>582751.16501952265</v>
      </c>
      <c r="L253" s="35">
        <v>125848.1803098877</v>
      </c>
      <c r="M253" s="35">
        <v>604622.81969011226</v>
      </c>
      <c r="N253" s="35">
        <v>21871.654670589603</v>
      </c>
    </row>
    <row r="254" spans="1:14" x14ac:dyDescent="0.25">
      <c r="A254" t="s">
        <v>265</v>
      </c>
      <c r="B254" s="2">
        <v>45637</v>
      </c>
      <c r="C254" t="s">
        <v>614</v>
      </c>
      <c r="D254" t="s">
        <v>619</v>
      </c>
      <c r="E254" t="s">
        <v>620</v>
      </c>
      <c r="F254" t="s">
        <v>628</v>
      </c>
      <c r="G254" t="s">
        <v>633</v>
      </c>
      <c r="H254">
        <v>1</v>
      </c>
      <c r="I254" s="35">
        <v>231068</v>
      </c>
      <c r="J254" s="35">
        <v>231068</v>
      </c>
      <c r="K254" s="35">
        <v>126361.95101035231</v>
      </c>
      <c r="L254" s="35">
        <v>6345.128791904277</v>
      </c>
      <c r="M254" s="35">
        <v>224722.87120809569</v>
      </c>
      <c r="N254" s="35">
        <v>98360.920197743384</v>
      </c>
    </row>
    <row r="255" spans="1:14" x14ac:dyDescent="0.25">
      <c r="A255" t="s">
        <v>266</v>
      </c>
      <c r="B255" s="2">
        <v>45415</v>
      </c>
      <c r="C255" t="s">
        <v>613</v>
      </c>
      <c r="D255" t="s">
        <v>618</v>
      </c>
      <c r="E255" t="s">
        <v>622</v>
      </c>
      <c r="F255" t="s">
        <v>626</v>
      </c>
      <c r="G255" t="s">
        <v>631</v>
      </c>
      <c r="H255">
        <v>9</v>
      </c>
      <c r="I255" s="35">
        <v>326175</v>
      </c>
      <c r="J255" s="35">
        <v>2935575</v>
      </c>
      <c r="K255" s="35">
        <v>2338262.6878063041</v>
      </c>
      <c r="L255" s="35">
        <v>559160.54813457723</v>
      </c>
      <c r="M255" s="35">
        <v>2376414.451865423</v>
      </c>
      <c r="N255" s="35">
        <v>38151.764059118927</v>
      </c>
    </row>
    <row r="256" spans="1:14" x14ac:dyDescent="0.25">
      <c r="A256" t="s">
        <v>267</v>
      </c>
      <c r="B256" s="2">
        <v>45566</v>
      </c>
      <c r="C256" t="s">
        <v>616</v>
      </c>
      <c r="D256" t="s">
        <v>619</v>
      </c>
      <c r="E256" t="s">
        <v>623</v>
      </c>
      <c r="F256" t="s">
        <v>626</v>
      </c>
      <c r="G256" t="s">
        <v>633</v>
      </c>
      <c r="H256">
        <v>4</v>
      </c>
      <c r="I256" s="35">
        <v>261144</v>
      </c>
      <c r="J256" s="35">
        <v>1044576</v>
      </c>
      <c r="K256" s="35">
        <v>828540.94885215885</v>
      </c>
      <c r="L256" s="35">
        <v>68696.042972365787</v>
      </c>
      <c r="M256" s="35">
        <v>975879.95702763426</v>
      </c>
      <c r="N256" s="35">
        <v>147339.00817547541</v>
      </c>
    </row>
    <row r="257" spans="1:14" x14ac:dyDescent="0.25">
      <c r="A257" t="s">
        <v>268</v>
      </c>
      <c r="B257" s="2">
        <v>45477</v>
      </c>
      <c r="C257" t="s">
        <v>613</v>
      </c>
      <c r="D257" t="s">
        <v>618</v>
      </c>
      <c r="E257" t="s">
        <v>620</v>
      </c>
      <c r="F257" t="s">
        <v>626</v>
      </c>
      <c r="G257" t="s">
        <v>633</v>
      </c>
      <c r="H257">
        <v>3</v>
      </c>
      <c r="I257" s="35">
        <v>115982</v>
      </c>
      <c r="J257" s="35">
        <v>347946</v>
      </c>
      <c r="K257" s="35">
        <v>256834.75019471601</v>
      </c>
      <c r="L257" s="35">
        <v>46089.883227279817</v>
      </c>
      <c r="M257" s="35">
        <v>301856.11677272018</v>
      </c>
      <c r="N257" s="35">
        <v>45021.366578004177</v>
      </c>
    </row>
    <row r="258" spans="1:14" x14ac:dyDescent="0.25">
      <c r="A258" t="s">
        <v>269</v>
      </c>
      <c r="B258" s="2">
        <v>45264</v>
      </c>
      <c r="C258" t="s">
        <v>617</v>
      </c>
      <c r="D258" t="s">
        <v>619</v>
      </c>
      <c r="E258" t="s">
        <v>624</v>
      </c>
      <c r="F258" t="s">
        <v>625</v>
      </c>
      <c r="G258" t="s">
        <v>631</v>
      </c>
      <c r="H258">
        <v>1</v>
      </c>
      <c r="I258" s="35">
        <v>86683</v>
      </c>
      <c r="J258" s="35">
        <v>86683</v>
      </c>
      <c r="K258" s="35">
        <v>60489.728186646142</v>
      </c>
      <c r="L258" s="35">
        <v>13034.091825392599</v>
      </c>
      <c r="M258" s="35">
        <v>73648.908174607408</v>
      </c>
      <c r="N258" s="35">
        <v>13159.179987961266</v>
      </c>
    </row>
    <row r="259" spans="1:14" x14ac:dyDescent="0.25">
      <c r="A259" t="s">
        <v>270</v>
      </c>
      <c r="B259" s="2">
        <v>45567</v>
      </c>
      <c r="C259" t="s">
        <v>617</v>
      </c>
      <c r="D259" t="s">
        <v>618</v>
      </c>
      <c r="E259" t="s">
        <v>621</v>
      </c>
      <c r="F259" t="s">
        <v>629</v>
      </c>
      <c r="G259" t="s">
        <v>632</v>
      </c>
      <c r="H259">
        <v>4</v>
      </c>
      <c r="I259" s="35">
        <v>164091</v>
      </c>
      <c r="J259" s="35">
        <v>656364</v>
      </c>
      <c r="K259" s="35">
        <v>441957.52401930088</v>
      </c>
      <c r="L259" s="35">
        <v>106586.455670372</v>
      </c>
      <c r="M259" s="35">
        <v>549777.544329628</v>
      </c>
      <c r="N259" s="35">
        <v>107820.02031032712</v>
      </c>
    </row>
    <row r="260" spans="1:14" x14ac:dyDescent="0.25">
      <c r="A260" t="s">
        <v>271</v>
      </c>
      <c r="B260" s="2">
        <v>45399</v>
      </c>
      <c r="C260" t="s">
        <v>617</v>
      </c>
      <c r="D260" t="s">
        <v>619</v>
      </c>
      <c r="E260" t="s">
        <v>620</v>
      </c>
      <c r="F260" t="s">
        <v>626</v>
      </c>
      <c r="G260" t="s">
        <v>633</v>
      </c>
      <c r="H260">
        <v>9</v>
      </c>
      <c r="I260" s="35">
        <v>167797</v>
      </c>
      <c r="J260" s="35">
        <v>1510173</v>
      </c>
      <c r="K260" s="35">
        <v>1147475.450726364</v>
      </c>
      <c r="L260" s="35">
        <v>285649.13301192789</v>
      </c>
      <c r="M260" s="35">
        <v>1224523.8669880719</v>
      </c>
      <c r="N260" s="35">
        <v>77048.416261707898</v>
      </c>
    </row>
    <row r="261" spans="1:14" x14ac:dyDescent="0.25">
      <c r="A261" t="s">
        <v>272</v>
      </c>
      <c r="B261" s="2">
        <v>45077</v>
      </c>
      <c r="C261" t="s">
        <v>617</v>
      </c>
      <c r="D261" t="s">
        <v>619</v>
      </c>
      <c r="E261" t="s">
        <v>620</v>
      </c>
      <c r="F261" t="s">
        <v>626</v>
      </c>
      <c r="G261" t="s">
        <v>632</v>
      </c>
      <c r="H261">
        <v>6</v>
      </c>
      <c r="I261" s="35">
        <v>460834</v>
      </c>
      <c r="J261" s="35">
        <v>2765004</v>
      </c>
      <c r="K261" s="35">
        <v>1622592.430510791</v>
      </c>
      <c r="L261" s="35">
        <v>173044.76039557741</v>
      </c>
      <c r="M261" s="35">
        <v>2591959.2396044228</v>
      </c>
      <c r="N261" s="35">
        <v>969366.8090936318</v>
      </c>
    </row>
    <row r="262" spans="1:14" x14ac:dyDescent="0.25">
      <c r="A262" t="s">
        <v>273</v>
      </c>
      <c r="B262" s="2">
        <v>45341</v>
      </c>
      <c r="C262" t="s">
        <v>614</v>
      </c>
      <c r="D262" t="s">
        <v>618</v>
      </c>
      <c r="E262" t="s">
        <v>621</v>
      </c>
      <c r="F262" t="s">
        <v>629</v>
      </c>
      <c r="G262" t="s">
        <v>632</v>
      </c>
      <c r="H262">
        <v>6</v>
      </c>
      <c r="I262" s="35">
        <v>56587</v>
      </c>
      <c r="J262" s="35">
        <v>339522</v>
      </c>
      <c r="K262" s="35">
        <v>217397.41818758711</v>
      </c>
      <c r="L262" s="35">
        <v>58296.365692450578</v>
      </c>
      <c r="M262" s="35">
        <v>281225.63430754939</v>
      </c>
      <c r="N262" s="35">
        <v>63828.216119962279</v>
      </c>
    </row>
    <row r="263" spans="1:14" x14ac:dyDescent="0.25">
      <c r="A263" t="s">
        <v>274</v>
      </c>
      <c r="B263" s="2">
        <v>45224</v>
      </c>
      <c r="C263" t="s">
        <v>616</v>
      </c>
      <c r="D263" t="s">
        <v>619</v>
      </c>
      <c r="E263" t="s">
        <v>620</v>
      </c>
      <c r="F263" t="s">
        <v>627</v>
      </c>
      <c r="G263" t="s">
        <v>631</v>
      </c>
      <c r="H263">
        <v>1</v>
      </c>
      <c r="I263" s="35">
        <v>374934</v>
      </c>
      <c r="J263" s="35">
        <v>374934</v>
      </c>
      <c r="K263" s="35">
        <v>257136.10763233801</v>
      </c>
      <c r="L263" s="35">
        <v>9874.7794905901701</v>
      </c>
      <c r="M263" s="35">
        <v>365059.22050940979</v>
      </c>
      <c r="N263" s="35">
        <v>107923.11287707178</v>
      </c>
    </row>
    <row r="264" spans="1:14" x14ac:dyDescent="0.25">
      <c r="A264" t="s">
        <v>275</v>
      </c>
      <c r="B264" s="2">
        <v>45537</v>
      </c>
      <c r="C264" t="s">
        <v>613</v>
      </c>
      <c r="D264" t="s">
        <v>618</v>
      </c>
      <c r="E264" t="s">
        <v>624</v>
      </c>
      <c r="F264" t="s">
        <v>626</v>
      </c>
      <c r="G264" t="s">
        <v>631</v>
      </c>
      <c r="H264">
        <v>2</v>
      </c>
      <c r="I264" s="35">
        <v>343624</v>
      </c>
      <c r="J264" s="35">
        <v>687248</v>
      </c>
      <c r="K264" s="35">
        <v>428400.94964810682</v>
      </c>
      <c r="L264" s="35">
        <v>96907.590561938778</v>
      </c>
      <c r="M264" s="35">
        <v>590340.40943806118</v>
      </c>
      <c r="N264" s="35">
        <v>161939.45978995436</v>
      </c>
    </row>
    <row r="265" spans="1:14" x14ac:dyDescent="0.25">
      <c r="A265" t="s">
        <v>276</v>
      </c>
      <c r="B265" s="2">
        <v>45189</v>
      </c>
      <c r="C265" t="s">
        <v>613</v>
      </c>
      <c r="D265" t="s">
        <v>619</v>
      </c>
      <c r="E265" t="s">
        <v>624</v>
      </c>
      <c r="F265" t="s">
        <v>625</v>
      </c>
      <c r="G265" t="s">
        <v>632</v>
      </c>
      <c r="H265">
        <v>6</v>
      </c>
      <c r="I265" s="35">
        <v>279602</v>
      </c>
      <c r="J265" s="35">
        <v>1677612</v>
      </c>
      <c r="K265" s="35">
        <v>1053952.9215657851</v>
      </c>
      <c r="L265" s="35">
        <v>248950.14855308339</v>
      </c>
      <c r="M265" s="35">
        <v>1428661.851446917</v>
      </c>
      <c r="N265" s="35">
        <v>374708.92988113197</v>
      </c>
    </row>
    <row r="266" spans="1:14" x14ac:dyDescent="0.25">
      <c r="A266" t="s">
        <v>277</v>
      </c>
      <c r="B266" s="2">
        <v>45070</v>
      </c>
      <c r="C266" t="s">
        <v>617</v>
      </c>
      <c r="D266" t="s">
        <v>618</v>
      </c>
      <c r="E266" t="s">
        <v>621</v>
      </c>
      <c r="F266" t="s">
        <v>628</v>
      </c>
      <c r="G266" t="s">
        <v>633</v>
      </c>
      <c r="H266">
        <v>2</v>
      </c>
      <c r="I266" s="35">
        <v>201599</v>
      </c>
      <c r="J266" s="35">
        <v>403198</v>
      </c>
      <c r="K266" s="35">
        <v>241550.0352102516</v>
      </c>
      <c r="L266" s="35">
        <v>54651.331081178003</v>
      </c>
      <c r="M266" s="35">
        <v>348546.66891882202</v>
      </c>
      <c r="N266" s="35">
        <v>106996.63370857041</v>
      </c>
    </row>
    <row r="267" spans="1:14" x14ac:dyDescent="0.25">
      <c r="A267" t="s">
        <v>278</v>
      </c>
      <c r="B267" s="2">
        <v>45272</v>
      </c>
      <c r="C267" t="s">
        <v>617</v>
      </c>
      <c r="D267" t="s">
        <v>618</v>
      </c>
      <c r="E267" t="s">
        <v>622</v>
      </c>
      <c r="F267" t="s">
        <v>628</v>
      </c>
      <c r="G267" t="s">
        <v>632</v>
      </c>
      <c r="H267">
        <v>3</v>
      </c>
      <c r="I267" s="35">
        <v>335713</v>
      </c>
      <c r="J267" s="35">
        <v>1007139</v>
      </c>
      <c r="K267" s="35">
        <v>674047.46028715407</v>
      </c>
      <c r="L267" s="35">
        <v>50823.202207284368</v>
      </c>
      <c r="M267" s="35">
        <v>956315.7977927156</v>
      </c>
      <c r="N267" s="35">
        <v>282268.33750556153</v>
      </c>
    </row>
    <row r="268" spans="1:14" x14ac:dyDescent="0.25">
      <c r="A268" t="s">
        <v>279</v>
      </c>
      <c r="B268" s="2">
        <v>45550</v>
      </c>
      <c r="C268" t="s">
        <v>615</v>
      </c>
      <c r="D268" t="s">
        <v>618</v>
      </c>
      <c r="E268" t="s">
        <v>623</v>
      </c>
      <c r="F268" t="s">
        <v>630</v>
      </c>
      <c r="G268" t="s">
        <v>633</v>
      </c>
      <c r="H268">
        <v>4</v>
      </c>
      <c r="I268" s="35">
        <v>323295</v>
      </c>
      <c r="J268" s="35">
        <v>1293180</v>
      </c>
      <c r="K268" s="35">
        <v>976573.79044157639</v>
      </c>
      <c r="L268" s="35">
        <v>225800.38737142409</v>
      </c>
      <c r="M268" s="35">
        <v>1067379.6126285761</v>
      </c>
      <c r="N268" s="35">
        <v>90805.822186999721</v>
      </c>
    </row>
    <row r="269" spans="1:14" x14ac:dyDescent="0.25">
      <c r="A269" t="s">
        <v>280</v>
      </c>
      <c r="B269" s="2">
        <v>45498</v>
      </c>
      <c r="C269" t="s">
        <v>616</v>
      </c>
      <c r="D269" t="s">
        <v>618</v>
      </c>
      <c r="E269" t="s">
        <v>622</v>
      </c>
      <c r="F269" t="s">
        <v>630</v>
      </c>
      <c r="G269" t="s">
        <v>633</v>
      </c>
      <c r="H269">
        <v>5</v>
      </c>
      <c r="I269" s="35">
        <v>240246</v>
      </c>
      <c r="J269" s="35">
        <v>1201230</v>
      </c>
      <c r="K269" s="35">
        <v>673239.58005375706</v>
      </c>
      <c r="L269" s="35">
        <v>40567.57039088392</v>
      </c>
      <c r="M269" s="35">
        <v>1160662.4296091159</v>
      </c>
      <c r="N269" s="35">
        <v>487422.84955535887</v>
      </c>
    </row>
    <row r="270" spans="1:14" x14ac:dyDescent="0.25">
      <c r="A270" t="s">
        <v>281</v>
      </c>
      <c r="B270" s="2">
        <v>44928</v>
      </c>
      <c r="C270" t="s">
        <v>614</v>
      </c>
      <c r="D270" t="s">
        <v>619</v>
      </c>
      <c r="E270" t="s">
        <v>620</v>
      </c>
      <c r="F270" t="s">
        <v>628</v>
      </c>
      <c r="G270" t="s">
        <v>631</v>
      </c>
      <c r="H270">
        <v>9</v>
      </c>
      <c r="I270" s="35">
        <v>94739</v>
      </c>
      <c r="J270" s="35">
        <v>852651</v>
      </c>
      <c r="K270" s="35">
        <v>665349.07947784825</v>
      </c>
      <c r="L270" s="35">
        <v>9146.3517250055866</v>
      </c>
      <c r="M270" s="35">
        <v>843504.64827499446</v>
      </c>
      <c r="N270" s="35">
        <v>178155.5687971462</v>
      </c>
    </row>
    <row r="271" spans="1:14" x14ac:dyDescent="0.25">
      <c r="A271" t="s">
        <v>282</v>
      </c>
      <c r="B271" s="2">
        <v>45230</v>
      </c>
      <c r="C271" t="s">
        <v>613</v>
      </c>
      <c r="D271" t="s">
        <v>619</v>
      </c>
      <c r="E271" t="s">
        <v>623</v>
      </c>
      <c r="F271" t="s">
        <v>628</v>
      </c>
      <c r="G271" t="s">
        <v>633</v>
      </c>
      <c r="H271">
        <v>4</v>
      </c>
      <c r="I271" s="35">
        <v>82954</v>
      </c>
      <c r="J271" s="35">
        <v>331816</v>
      </c>
      <c r="K271" s="35">
        <v>234503.09267483681</v>
      </c>
      <c r="L271" s="35">
        <v>47613.272664976452</v>
      </c>
      <c r="M271" s="35">
        <v>284202.72733502358</v>
      </c>
      <c r="N271" s="35">
        <v>49699.63466018677</v>
      </c>
    </row>
    <row r="272" spans="1:14" x14ac:dyDescent="0.25">
      <c r="A272" t="s">
        <v>283</v>
      </c>
      <c r="B272" s="2">
        <v>45180</v>
      </c>
      <c r="C272" t="s">
        <v>615</v>
      </c>
      <c r="D272" t="s">
        <v>618</v>
      </c>
      <c r="E272" t="s">
        <v>621</v>
      </c>
      <c r="F272" t="s">
        <v>625</v>
      </c>
      <c r="G272" t="s">
        <v>633</v>
      </c>
      <c r="H272">
        <v>9</v>
      </c>
      <c r="I272" s="35">
        <v>293935</v>
      </c>
      <c r="J272" s="35">
        <v>2645415</v>
      </c>
      <c r="K272" s="35">
        <v>1976077.2917765831</v>
      </c>
      <c r="L272" s="35">
        <v>251566.11784248051</v>
      </c>
      <c r="M272" s="35">
        <v>2393848.882157519</v>
      </c>
      <c r="N272" s="35">
        <v>417771.59038093593</v>
      </c>
    </row>
    <row r="273" spans="1:14" x14ac:dyDescent="0.25">
      <c r="A273" t="s">
        <v>284</v>
      </c>
      <c r="B273" s="2">
        <v>45578</v>
      </c>
      <c r="C273" t="s">
        <v>615</v>
      </c>
      <c r="D273" t="s">
        <v>618</v>
      </c>
      <c r="E273" t="s">
        <v>621</v>
      </c>
      <c r="F273" t="s">
        <v>629</v>
      </c>
      <c r="G273" t="s">
        <v>632</v>
      </c>
      <c r="H273">
        <v>3</v>
      </c>
      <c r="I273" s="35">
        <v>159373</v>
      </c>
      <c r="J273" s="35">
        <v>478119</v>
      </c>
      <c r="K273" s="35">
        <v>318837.10133087047</v>
      </c>
      <c r="L273" s="35">
        <v>81193.979240924455</v>
      </c>
      <c r="M273" s="35">
        <v>396925.02075907547</v>
      </c>
      <c r="N273" s="35">
        <v>78087.919428205001</v>
      </c>
    </row>
    <row r="274" spans="1:14" x14ac:dyDescent="0.25">
      <c r="A274" t="s">
        <v>285</v>
      </c>
      <c r="B274" s="2">
        <v>45379</v>
      </c>
      <c r="C274" t="s">
        <v>613</v>
      </c>
      <c r="D274" t="s">
        <v>618</v>
      </c>
      <c r="E274" t="s">
        <v>623</v>
      </c>
      <c r="F274" t="s">
        <v>630</v>
      </c>
      <c r="G274" t="s">
        <v>631</v>
      </c>
      <c r="H274">
        <v>8</v>
      </c>
      <c r="I274" s="35">
        <v>478519</v>
      </c>
      <c r="J274" s="35">
        <v>3828152</v>
      </c>
      <c r="K274" s="35">
        <v>2809308.5258769789</v>
      </c>
      <c r="L274" s="35">
        <v>293540.50646729133</v>
      </c>
      <c r="M274" s="35">
        <v>3534611.4935327088</v>
      </c>
      <c r="N274" s="35">
        <v>725302.96765572997</v>
      </c>
    </row>
    <row r="275" spans="1:14" x14ac:dyDescent="0.25">
      <c r="A275" t="s">
        <v>286</v>
      </c>
      <c r="B275" s="2">
        <v>44963</v>
      </c>
      <c r="C275" t="s">
        <v>614</v>
      </c>
      <c r="D275" t="s">
        <v>619</v>
      </c>
      <c r="E275" t="s">
        <v>624</v>
      </c>
      <c r="F275" t="s">
        <v>629</v>
      </c>
      <c r="G275" t="s">
        <v>633</v>
      </c>
      <c r="H275">
        <v>1</v>
      </c>
      <c r="I275" s="35">
        <v>84700</v>
      </c>
      <c r="J275" s="35">
        <v>84700</v>
      </c>
      <c r="K275" s="35">
        <v>42761.652096395861</v>
      </c>
      <c r="L275" s="35">
        <v>2850.6392893206562</v>
      </c>
      <c r="M275" s="35">
        <v>81849.36071067935</v>
      </c>
      <c r="N275" s="35">
        <v>39087.708614283489</v>
      </c>
    </row>
    <row r="276" spans="1:14" x14ac:dyDescent="0.25">
      <c r="A276" t="s">
        <v>287</v>
      </c>
      <c r="B276" s="2">
        <v>45086</v>
      </c>
      <c r="C276" t="s">
        <v>615</v>
      </c>
      <c r="D276" t="s">
        <v>619</v>
      </c>
      <c r="E276" t="s">
        <v>623</v>
      </c>
      <c r="F276" t="s">
        <v>625</v>
      </c>
      <c r="G276" t="s">
        <v>633</v>
      </c>
      <c r="H276">
        <v>9</v>
      </c>
      <c r="I276" s="35">
        <v>173728</v>
      </c>
      <c r="J276" s="35">
        <v>1563552</v>
      </c>
      <c r="K276" s="35">
        <v>1165650.104977468</v>
      </c>
      <c r="L276" s="35">
        <v>261564.17258412999</v>
      </c>
      <c r="M276" s="35">
        <v>1301987.82741587</v>
      </c>
      <c r="N276" s="35">
        <v>136337.72243840201</v>
      </c>
    </row>
    <row r="277" spans="1:14" x14ac:dyDescent="0.25">
      <c r="A277" t="s">
        <v>288</v>
      </c>
      <c r="B277" s="2">
        <v>44935</v>
      </c>
      <c r="C277" t="s">
        <v>615</v>
      </c>
      <c r="D277" t="s">
        <v>619</v>
      </c>
      <c r="E277" t="s">
        <v>620</v>
      </c>
      <c r="F277" t="s">
        <v>628</v>
      </c>
      <c r="G277" t="s">
        <v>631</v>
      </c>
      <c r="H277">
        <v>9</v>
      </c>
      <c r="I277" s="35">
        <v>378932</v>
      </c>
      <c r="J277" s="35">
        <v>3410388</v>
      </c>
      <c r="K277" s="35">
        <v>1746260.725007528</v>
      </c>
      <c r="L277" s="35">
        <v>374398.96416594408</v>
      </c>
      <c r="M277" s="35">
        <v>3035989.0358340559</v>
      </c>
      <c r="N277" s="35">
        <v>1289728.3108265279</v>
      </c>
    </row>
    <row r="278" spans="1:14" x14ac:dyDescent="0.25">
      <c r="A278" t="s">
        <v>289</v>
      </c>
      <c r="B278" s="2">
        <v>45159</v>
      </c>
      <c r="C278" t="s">
        <v>616</v>
      </c>
      <c r="D278" t="s">
        <v>619</v>
      </c>
      <c r="E278" t="s">
        <v>624</v>
      </c>
      <c r="F278" t="s">
        <v>626</v>
      </c>
      <c r="G278" t="s">
        <v>632</v>
      </c>
      <c r="H278">
        <v>2</v>
      </c>
      <c r="I278" s="35">
        <v>121045</v>
      </c>
      <c r="J278" s="35">
        <v>242090</v>
      </c>
      <c r="K278" s="35">
        <v>185676.73878510561</v>
      </c>
      <c r="L278" s="35">
        <v>9160.481875956204</v>
      </c>
      <c r="M278" s="35">
        <v>232929.5181240438</v>
      </c>
      <c r="N278" s="35">
        <v>47252.779338938184</v>
      </c>
    </row>
    <row r="279" spans="1:14" x14ac:dyDescent="0.25">
      <c r="A279" t="s">
        <v>290</v>
      </c>
      <c r="B279" s="2">
        <v>45025</v>
      </c>
      <c r="C279" t="s">
        <v>614</v>
      </c>
      <c r="D279" t="s">
        <v>618</v>
      </c>
      <c r="E279" t="s">
        <v>621</v>
      </c>
      <c r="F279" t="s">
        <v>629</v>
      </c>
      <c r="G279" t="s">
        <v>631</v>
      </c>
      <c r="H279">
        <v>4</v>
      </c>
      <c r="I279" s="35">
        <v>481058</v>
      </c>
      <c r="J279" s="35">
        <v>1924232</v>
      </c>
      <c r="K279" s="35">
        <v>1534745.9383133531</v>
      </c>
      <c r="L279" s="35">
        <v>277237.18847359868</v>
      </c>
      <c r="M279" s="35">
        <v>1646994.811526401</v>
      </c>
      <c r="N279" s="35">
        <v>112248.87321304786</v>
      </c>
    </row>
    <row r="280" spans="1:14" x14ac:dyDescent="0.25">
      <c r="A280" t="s">
        <v>291</v>
      </c>
      <c r="B280" s="2">
        <v>45585</v>
      </c>
      <c r="C280" t="s">
        <v>615</v>
      </c>
      <c r="D280" t="s">
        <v>618</v>
      </c>
      <c r="E280" t="s">
        <v>623</v>
      </c>
      <c r="F280" t="s">
        <v>628</v>
      </c>
      <c r="G280" t="s">
        <v>631</v>
      </c>
      <c r="H280">
        <v>8</v>
      </c>
      <c r="I280" s="35">
        <v>194972</v>
      </c>
      <c r="J280" s="35">
        <v>1559776</v>
      </c>
      <c r="K280" s="35">
        <v>917491.81096527365</v>
      </c>
      <c r="L280" s="35">
        <v>159444.55731771991</v>
      </c>
      <c r="M280" s="35">
        <v>1400331.44268228</v>
      </c>
      <c r="N280" s="35">
        <v>482839.63171700633</v>
      </c>
    </row>
    <row r="281" spans="1:14" x14ac:dyDescent="0.25">
      <c r="A281" t="s">
        <v>292</v>
      </c>
      <c r="B281" s="2">
        <v>45134</v>
      </c>
      <c r="C281" t="s">
        <v>614</v>
      </c>
      <c r="D281" t="s">
        <v>618</v>
      </c>
      <c r="E281" t="s">
        <v>622</v>
      </c>
      <c r="F281" t="s">
        <v>628</v>
      </c>
      <c r="G281" t="s">
        <v>633</v>
      </c>
      <c r="H281">
        <v>7</v>
      </c>
      <c r="I281" s="35">
        <v>440136</v>
      </c>
      <c r="J281" s="35">
        <v>3080952</v>
      </c>
      <c r="K281" s="35">
        <v>1734870.4129877491</v>
      </c>
      <c r="L281" s="35">
        <v>372371.85825185559</v>
      </c>
      <c r="M281" s="35">
        <v>2708580.1417481438</v>
      </c>
      <c r="N281" s="35">
        <v>973709.72876039473</v>
      </c>
    </row>
    <row r="282" spans="1:14" x14ac:dyDescent="0.25">
      <c r="A282" t="s">
        <v>293</v>
      </c>
      <c r="B282" s="2">
        <v>45057</v>
      </c>
      <c r="C282" t="s">
        <v>613</v>
      </c>
      <c r="D282" t="s">
        <v>619</v>
      </c>
      <c r="E282" t="s">
        <v>622</v>
      </c>
      <c r="F282" t="s">
        <v>627</v>
      </c>
      <c r="G282" t="s">
        <v>633</v>
      </c>
      <c r="H282">
        <v>1</v>
      </c>
      <c r="I282" s="35">
        <v>392203</v>
      </c>
      <c r="J282" s="35">
        <v>392203</v>
      </c>
      <c r="K282" s="35">
        <v>286154.84221856447</v>
      </c>
      <c r="L282" s="35">
        <v>36153.142187927209</v>
      </c>
      <c r="M282" s="35">
        <v>356049.85781207279</v>
      </c>
      <c r="N282" s="35">
        <v>69895.015593508317</v>
      </c>
    </row>
    <row r="283" spans="1:14" x14ac:dyDescent="0.25">
      <c r="A283" t="s">
        <v>294</v>
      </c>
      <c r="B283" s="2">
        <v>45330</v>
      </c>
      <c r="C283" t="s">
        <v>617</v>
      </c>
      <c r="D283" t="s">
        <v>619</v>
      </c>
      <c r="E283" t="s">
        <v>620</v>
      </c>
      <c r="F283" t="s">
        <v>629</v>
      </c>
      <c r="G283" t="s">
        <v>632</v>
      </c>
      <c r="H283">
        <v>5</v>
      </c>
      <c r="I283" s="35">
        <v>51881</v>
      </c>
      <c r="J283" s="35">
        <v>259405</v>
      </c>
      <c r="K283" s="35">
        <v>149393.38938992549</v>
      </c>
      <c r="L283" s="35">
        <v>42994.250789461992</v>
      </c>
      <c r="M283" s="35">
        <v>216410.74921053799</v>
      </c>
      <c r="N283" s="35">
        <v>67017.359820612503</v>
      </c>
    </row>
    <row r="284" spans="1:14" x14ac:dyDescent="0.25">
      <c r="A284" t="s">
        <v>295</v>
      </c>
      <c r="B284" s="2">
        <v>45078</v>
      </c>
      <c r="C284" t="s">
        <v>615</v>
      </c>
      <c r="D284" t="s">
        <v>619</v>
      </c>
      <c r="E284" t="s">
        <v>622</v>
      </c>
      <c r="F284" t="s">
        <v>626</v>
      </c>
      <c r="G284" t="s">
        <v>633</v>
      </c>
      <c r="H284">
        <v>7</v>
      </c>
      <c r="I284" s="35">
        <v>476253</v>
      </c>
      <c r="J284" s="35">
        <v>3333771</v>
      </c>
      <c r="K284" s="35">
        <v>2532561.531513114</v>
      </c>
      <c r="L284" s="35">
        <v>553114.42484507931</v>
      </c>
      <c r="M284" s="35">
        <v>2780656.575154921</v>
      </c>
      <c r="N284" s="35">
        <v>248095.04364180705</v>
      </c>
    </row>
    <row r="285" spans="1:14" x14ac:dyDescent="0.25">
      <c r="A285" t="s">
        <v>296</v>
      </c>
      <c r="B285" s="2">
        <v>44980</v>
      </c>
      <c r="C285" t="s">
        <v>616</v>
      </c>
      <c r="D285" t="s">
        <v>618</v>
      </c>
      <c r="E285" t="s">
        <v>623</v>
      </c>
      <c r="F285" t="s">
        <v>629</v>
      </c>
      <c r="G285" t="s">
        <v>633</v>
      </c>
      <c r="H285">
        <v>4</v>
      </c>
      <c r="I285" s="35">
        <v>444846</v>
      </c>
      <c r="J285" s="35">
        <v>1779384</v>
      </c>
      <c r="K285" s="35">
        <v>944590.93890106189</v>
      </c>
      <c r="L285" s="35">
        <v>252455.02386663269</v>
      </c>
      <c r="M285" s="35">
        <v>1526928.976133367</v>
      </c>
      <c r="N285" s="35">
        <v>582338.03723230516</v>
      </c>
    </row>
    <row r="286" spans="1:14" x14ac:dyDescent="0.25">
      <c r="A286" t="s">
        <v>297</v>
      </c>
      <c r="B286" s="2">
        <v>45046</v>
      </c>
      <c r="C286" t="s">
        <v>613</v>
      </c>
      <c r="D286" t="s">
        <v>618</v>
      </c>
      <c r="E286" t="s">
        <v>623</v>
      </c>
      <c r="F286" t="s">
        <v>628</v>
      </c>
      <c r="G286" t="s">
        <v>631</v>
      </c>
      <c r="H286">
        <v>1</v>
      </c>
      <c r="I286" s="35">
        <v>332933</v>
      </c>
      <c r="J286" s="35">
        <v>332933</v>
      </c>
      <c r="K286" s="35">
        <v>179046.89241885059</v>
      </c>
      <c r="L286" s="35">
        <v>7018.3193561472754</v>
      </c>
      <c r="M286" s="35">
        <v>325914.68064385268</v>
      </c>
      <c r="N286" s="35">
        <v>146867.78822500209</v>
      </c>
    </row>
    <row r="287" spans="1:14" x14ac:dyDescent="0.25">
      <c r="A287" t="s">
        <v>298</v>
      </c>
      <c r="B287" s="2">
        <v>45599</v>
      </c>
      <c r="C287" t="s">
        <v>614</v>
      </c>
      <c r="D287" t="s">
        <v>619</v>
      </c>
      <c r="E287" t="s">
        <v>622</v>
      </c>
      <c r="F287" t="s">
        <v>626</v>
      </c>
      <c r="G287" t="s">
        <v>633</v>
      </c>
      <c r="H287">
        <v>9</v>
      </c>
      <c r="I287" s="35">
        <v>438227</v>
      </c>
      <c r="J287" s="35">
        <v>3944043</v>
      </c>
      <c r="K287" s="35">
        <v>3130566.25105011</v>
      </c>
      <c r="L287" s="35">
        <v>661695.14041314193</v>
      </c>
      <c r="M287" s="35">
        <v>3282347.8595868582</v>
      </c>
      <c r="N287" s="35">
        <v>151781.60853674822</v>
      </c>
    </row>
    <row r="288" spans="1:14" x14ac:dyDescent="0.25">
      <c r="A288" t="s">
        <v>299</v>
      </c>
      <c r="B288" s="2">
        <v>45554</v>
      </c>
      <c r="C288" t="s">
        <v>613</v>
      </c>
      <c r="D288" t="s">
        <v>618</v>
      </c>
      <c r="E288" t="s">
        <v>623</v>
      </c>
      <c r="F288" t="s">
        <v>625</v>
      </c>
      <c r="G288" t="s">
        <v>632</v>
      </c>
      <c r="H288">
        <v>5</v>
      </c>
      <c r="I288" s="35">
        <v>138059</v>
      </c>
      <c r="J288" s="35">
        <v>690295</v>
      </c>
      <c r="K288" s="35">
        <v>484691.78668438777</v>
      </c>
      <c r="L288" s="35">
        <v>92639.381079393002</v>
      </c>
      <c r="M288" s="35">
        <v>597655.61892060703</v>
      </c>
      <c r="N288" s="35">
        <v>112963.83223621926</v>
      </c>
    </row>
    <row r="289" spans="1:14" x14ac:dyDescent="0.25">
      <c r="A289" t="s">
        <v>300</v>
      </c>
      <c r="B289" s="2">
        <v>45513</v>
      </c>
      <c r="C289" t="s">
        <v>615</v>
      </c>
      <c r="D289" t="s">
        <v>619</v>
      </c>
      <c r="E289" t="s">
        <v>620</v>
      </c>
      <c r="F289" t="s">
        <v>627</v>
      </c>
      <c r="G289" t="s">
        <v>631</v>
      </c>
      <c r="H289">
        <v>2</v>
      </c>
      <c r="I289" s="35">
        <v>264566</v>
      </c>
      <c r="J289" s="35">
        <v>529132</v>
      </c>
      <c r="K289" s="35">
        <v>399000.53925096232</v>
      </c>
      <c r="L289" s="35">
        <v>73763.558201237407</v>
      </c>
      <c r="M289" s="35">
        <v>455368.44179876259</v>
      </c>
      <c r="N289" s="35">
        <v>56367.902547800273</v>
      </c>
    </row>
    <row r="290" spans="1:14" x14ac:dyDescent="0.25">
      <c r="A290" t="s">
        <v>301</v>
      </c>
      <c r="B290" s="2">
        <v>45551</v>
      </c>
      <c r="C290" t="s">
        <v>614</v>
      </c>
      <c r="D290" t="s">
        <v>619</v>
      </c>
      <c r="E290" t="s">
        <v>624</v>
      </c>
      <c r="F290" t="s">
        <v>628</v>
      </c>
      <c r="G290" t="s">
        <v>632</v>
      </c>
      <c r="H290">
        <v>8</v>
      </c>
      <c r="I290" s="35">
        <v>358295</v>
      </c>
      <c r="J290" s="35">
        <v>2866360</v>
      </c>
      <c r="K290" s="35">
        <v>1712073.4262195891</v>
      </c>
      <c r="L290" s="35">
        <v>208087.89888400829</v>
      </c>
      <c r="M290" s="35">
        <v>2658272.1011159918</v>
      </c>
      <c r="N290" s="35">
        <v>946198.67489640275</v>
      </c>
    </row>
    <row r="291" spans="1:14" x14ac:dyDescent="0.25">
      <c r="A291" t="s">
        <v>302</v>
      </c>
      <c r="B291" s="2">
        <v>45346</v>
      </c>
      <c r="C291" t="s">
        <v>617</v>
      </c>
      <c r="D291" t="s">
        <v>618</v>
      </c>
      <c r="E291" t="s">
        <v>620</v>
      </c>
      <c r="F291" t="s">
        <v>630</v>
      </c>
      <c r="G291" t="s">
        <v>631</v>
      </c>
      <c r="H291">
        <v>2</v>
      </c>
      <c r="I291" s="35">
        <v>492136</v>
      </c>
      <c r="J291" s="35">
        <v>984272</v>
      </c>
      <c r="K291" s="35">
        <v>691889.20393244328</v>
      </c>
      <c r="L291" s="35">
        <v>173090.04945955391</v>
      </c>
      <c r="M291" s="35">
        <v>811181.95054044609</v>
      </c>
      <c r="N291" s="35">
        <v>119292.74660800281</v>
      </c>
    </row>
    <row r="292" spans="1:14" x14ac:dyDescent="0.25">
      <c r="A292" t="s">
        <v>303</v>
      </c>
      <c r="B292" s="2">
        <v>45348</v>
      </c>
      <c r="C292" t="s">
        <v>613</v>
      </c>
      <c r="D292" t="s">
        <v>619</v>
      </c>
      <c r="E292" t="s">
        <v>620</v>
      </c>
      <c r="F292" t="s">
        <v>630</v>
      </c>
      <c r="G292" t="s">
        <v>633</v>
      </c>
      <c r="H292">
        <v>3</v>
      </c>
      <c r="I292" s="35">
        <v>159388</v>
      </c>
      <c r="J292" s="35">
        <v>478164</v>
      </c>
      <c r="K292" s="35">
        <v>324325.51473395643</v>
      </c>
      <c r="L292" s="35">
        <v>69369.317170940078</v>
      </c>
      <c r="M292" s="35">
        <v>408794.68282905989</v>
      </c>
      <c r="N292" s="35">
        <v>84469.168095103465</v>
      </c>
    </row>
    <row r="293" spans="1:14" x14ac:dyDescent="0.25">
      <c r="A293" t="s">
        <v>304</v>
      </c>
      <c r="B293" s="2">
        <v>45030</v>
      </c>
      <c r="C293" t="s">
        <v>615</v>
      </c>
      <c r="D293" t="s">
        <v>618</v>
      </c>
      <c r="E293" t="s">
        <v>623</v>
      </c>
      <c r="F293" t="s">
        <v>627</v>
      </c>
      <c r="G293" t="s">
        <v>631</v>
      </c>
      <c r="H293">
        <v>1</v>
      </c>
      <c r="I293" s="35">
        <v>248303</v>
      </c>
      <c r="J293" s="35">
        <v>248303</v>
      </c>
      <c r="K293" s="35">
        <v>169080.69528306651</v>
      </c>
      <c r="L293" s="35">
        <v>5591.3101221197148</v>
      </c>
      <c r="M293" s="35">
        <v>242711.6898778803</v>
      </c>
      <c r="N293" s="35">
        <v>73630.99459481379</v>
      </c>
    </row>
    <row r="294" spans="1:14" x14ac:dyDescent="0.25">
      <c r="A294" t="s">
        <v>305</v>
      </c>
      <c r="B294" s="2">
        <v>45180</v>
      </c>
      <c r="C294" t="s">
        <v>616</v>
      </c>
      <c r="D294" t="s">
        <v>619</v>
      </c>
      <c r="E294" t="s">
        <v>624</v>
      </c>
      <c r="F294" t="s">
        <v>625</v>
      </c>
      <c r="G294" t="s">
        <v>631</v>
      </c>
      <c r="H294">
        <v>2</v>
      </c>
      <c r="I294" s="35">
        <v>315406</v>
      </c>
      <c r="J294" s="35">
        <v>630812</v>
      </c>
      <c r="K294" s="35">
        <v>444570.89975977282</v>
      </c>
      <c r="L294" s="35">
        <v>51446.255487964059</v>
      </c>
      <c r="M294" s="35">
        <v>579365.74451203598</v>
      </c>
      <c r="N294" s="35">
        <v>134794.84475226316</v>
      </c>
    </row>
    <row r="295" spans="1:14" x14ac:dyDescent="0.25">
      <c r="A295" t="s">
        <v>306</v>
      </c>
      <c r="B295" s="2">
        <v>45153</v>
      </c>
      <c r="C295" t="s">
        <v>614</v>
      </c>
      <c r="D295" t="s">
        <v>618</v>
      </c>
      <c r="E295" t="s">
        <v>623</v>
      </c>
      <c r="F295" t="s">
        <v>628</v>
      </c>
      <c r="G295" t="s">
        <v>633</v>
      </c>
      <c r="H295">
        <v>7</v>
      </c>
      <c r="I295" s="35">
        <v>379125</v>
      </c>
      <c r="J295" s="35">
        <v>2653875</v>
      </c>
      <c r="K295" s="35">
        <v>1785016.897676396</v>
      </c>
      <c r="L295" s="35">
        <v>470468.53661939432</v>
      </c>
      <c r="M295" s="35">
        <v>2183406.4633806059</v>
      </c>
      <c r="N295" s="35">
        <v>398389.56570420996</v>
      </c>
    </row>
    <row r="296" spans="1:14" x14ac:dyDescent="0.25">
      <c r="A296" t="s">
        <v>307</v>
      </c>
      <c r="B296" s="2">
        <v>45038</v>
      </c>
      <c r="C296" t="s">
        <v>613</v>
      </c>
      <c r="D296" t="s">
        <v>618</v>
      </c>
      <c r="E296" t="s">
        <v>621</v>
      </c>
      <c r="F296" t="s">
        <v>629</v>
      </c>
      <c r="G296" t="s">
        <v>633</v>
      </c>
      <c r="H296">
        <v>2</v>
      </c>
      <c r="I296" s="35">
        <v>433095</v>
      </c>
      <c r="J296" s="35">
        <v>866190</v>
      </c>
      <c r="K296" s="35">
        <v>544589.86009988282</v>
      </c>
      <c r="L296" s="35">
        <v>8176.2622086505426</v>
      </c>
      <c r="M296" s="35">
        <v>858013.73779134941</v>
      </c>
      <c r="N296" s="35">
        <v>313423.87769146659</v>
      </c>
    </row>
    <row r="297" spans="1:14" x14ac:dyDescent="0.25">
      <c r="A297" t="s">
        <v>308</v>
      </c>
      <c r="B297" s="2">
        <v>45436</v>
      </c>
      <c r="C297" t="s">
        <v>613</v>
      </c>
      <c r="D297" t="s">
        <v>618</v>
      </c>
      <c r="E297" t="s">
        <v>623</v>
      </c>
      <c r="F297" t="s">
        <v>627</v>
      </c>
      <c r="G297" t="s">
        <v>632</v>
      </c>
      <c r="H297">
        <v>6</v>
      </c>
      <c r="I297" s="35">
        <v>435243</v>
      </c>
      <c r="J297" s="35">
        <v>2611458</v>
      </c>
      <c r="K297" s="35">
        <v>1521897.15828649</v>
      </c>
      <c r="L297" s="35">
        <v>502139.82453943748</v>
      </c>
      <c r="M297" s="35">
        <v>2109318.175460563</v>
      </c>
      <c r="N297" s="35">
        <v>587421.01717407303</v>
      </c>
    </row>
    <row r="298" spans="1:14" x14ac:dyDescent="0.25">
      <c r="A298" t="s">
        <v>309</v>
      </c>
      <c r="B298" s="2">
        <v>45399</v>
      </c>
      <c r="C298" t="s">
        <v>617</v>
      </c>
      <c r="D298" t="s">
        <v>619</v>
      </c>
      <c r="E298" t="s">
        <v>623</v>
      </c>
      <c r="F298" t="s">
        <v>625</v>
      </c>
      <c r="G298" t="s">
        <v>632</v>
      </c>
      <c r="H298">
        <v>3</v>
      </c>
      <c r="I298" s="35">
        <v>131972</v>
      </c>
      <c r="J298" s="35">
        <v>395916</v>
      </c>
      <c r="K298" s="35">
        <v>289246.0938629494</v>
      </c>
      <c r="L298" s="35">
        <v>53778.265479761612</v>
      </c>
      <c r="M298" s="35">
        <v>342137.73452023842</v>
      </c>
      <c r="N298" s="35">
        <v>52891.640657289012</v>
      </c>
    </row>
    <row r="299" spans="1:14" x14ac:dyDescent="0.25">
      <c r="A299" t="s">
        <v>310</v>
      </c>
      <c r="B299" s="2">
        <v>45025</v>
      </c>
      <c r="C299" t="s">
        <v>617</v>
      </c>
      <c r="D299" t="s">
        <v>619</v>
      </c>
      <c r="E299" t="s">
        <v>623</v>
      </c>
      <c r="F299" t="s">
        <v>629</v>
      </c>
      <c r="G299" t="s">
        <v>633</v>
      </c>
      <c r="H299">
        <v>4</v>
      </c>
      <c r="I299" s="35">
        <v>387629</v>
      </c>
      <c r="J299" s="35">
        <v>1550516</v>
      </c>
      <c r="K299" s="35">
        <v>880509.70692364615</v>
      </c>
      <c r="L299" s="35">
        <v>195791.7110703396</v>
      </c>
      <c r="M299" s="35">
        <v>1354724.2889296601</v>
      </c>
      <c r="N299" s="35">
        <v>474214.58200601395</v>
      </c>
    </row>
    <row r="300" spans="1:14" x14ac:dyDescent="0.25">
      <c r="A300" t="s">
        <v>311</v>
      </c>
      <c r="B300" s="2">
        <v>45079</v>
      </c>
      <c r="C300" t="s">
        <v>616</v>
      </c>
      <c r="D300" t="s">
        <v>618</v>
      </c>
      <c r="E300" t="s">
        <v>624</v>
      </c>
      <c r="F300" t="s">
        <v>630</v>
      </c>
      <c r="G300" t="s">
        <v>633</v>
      </c>
      <c r="H300">
        <v>8</v>
      </c>
      <c r="I300" s="35">
        <v>104722</v>
      </c>
      <c r="J300" s="35">
        <v>837776</v>
      </c>
      <c r="K300" s="35">
        <v>592899.34635784617</v>
      </c>
      <c r="L300" s="35">
        <v>45333.610332696699</v>
      </c>
      <c r="M300" s="35">
        <v>792442.3896673033</v>
      </c>
      <c r="N300" s="35">
        <v>199543.04330945713</v>
      </c>
    </row>
    <row r="301" spans="1:14" x14ac:dyDescent="0.25">
      <c r="A301" t="s">
        <v>312</v>
      </c>
      <c r="B301" s="2">
        <v>45264</v>
      </c>
      <c r="C301" t="s">
        <v>616</v>
      </c>
      <c r="D301" t="s">
        <v>618</v>
      </c>
      <c r="E301" t="s">
        <v>623</v>
      </c>
      <c r="F301" t="s">
        <v>630</v>
      </c>
      <c r="G301" t="s">
        <v>633</v>
      </c>
      <c r="H301">
        <v>3</v>
      </c>
      <c r="I301" s="35">
        <v>401643</v>
      </c>
      <c r="J301" s="35">
        <v>1204929</v>
      </c>
      <c r="K301" s="35">
        <v>686809.34539860918</v>
      </c>
      <c r="L301" s="35">
        <v>59955.288242741583</v>
      </c>
      <c r="M301" s="35">
        <v>1144973.711757259</v>
      </c>
      <c r="N301" s="35">
        <v>458164.3663586498</v>
      </c>
    </row>
    <row r="302" spans="1:14" x14ac:dyDescent="0.25">
      <c r="A302" t="s">
        <v>313</v>
      </c>
      <c r="B302" s="2">
        <v>45632</v>
      </c>
      <c r="C302" t="s">
        <v>615</v>
      </c>
      <c r="D302" t="s">
        <v>619</v>
      </c>
      <c r="E302" t="s">
        <v>624</v>
      </c>
      <c r="F302" t="s">
        <v>629</v>
      </c>
      <c r="G302" t="s">
        <v>631</v>
      </c>
      <c r="H302">
        <v>6</v>
      </c>
      <c r="I302" s="35">
        <v>231890</v>
      </c>
      <c r="J302" s="35">
        <v>1391340</v>
      </c>
      <c r="K302" s="35">
        <v>956684.06359932909</v>
      </c>
      <c r="L302" s="35">
        <v>262144.65662065247</v>
      </c>
      <c r="M302" s="35">
        <v>1129195.3433793481</v>
      </c>
      <c r="N302" s="35">
        <v>172511.27978001896</v>
      </c>
    </row>
    <row r="303" spans="1:14" x14ac:dyDescent="0.25">
      <c r="A303" t="s">
        <v>314</v>
      </c>
      <c r="B303" s="2">
        <v>45089</v>
      </c>
      <c r="C303" t="s">
        <v>615</v>
      </c>
      <c r="D303" t="s">
        <v>619</v>
      </c>
      <c r="E303" t="s">
        <v>622</v>
      </c>
      <c r="F303" t="s">
        <v>627</v>
      </c>
      <c r="G303" t="s">
        <v>631</v>
      </c>
      <c r="H303">
        <v>1</v>
      </c>
      <c r="I303" s="35">
        <v>473148</v>
      </c>
      <c r="J303" s="35">
        <v>473148</v>
      </c>
      <c r="K303" s="35">
        <v>342617.57638066972</v>
      </c>
      <c r="L303" s="35">
        <v>28225.40303519334</v>
      </c>
      <c r="M303" s="35">
        <v>444922.59696480673</v>
      </c>
      <c r="N303" s="35">
        <v>102305.020584137</v>
      </c>
    </row>
    <row r="304" spans="1:14" x14ac:dyDescent="0.25">
      <c r="A304" t="s">
        <v>315</v>
      </c>
      <c r="B304" s="2">
        <v>45646</v>
      </c>
      <c r="C304" t="s">
        <v>616</v>
      </c>
      <c r="D304" t="s">
        <v>619</v>
      </c>
      <c r="E304" t="s">
        <v>621</v>
      </c>
      <c r="F304" t="s">
        <v>630</v>
      </c>
      <c r="G304" t="s">
        <v>631</v>
      </c>
      <c r="H304">
        <v>7</v>
      </c>
      <c r="I304" s="35">
        <v>319045</v>
      </c>
      <c r="J304" s="35">
        <v>2233315</v>
      </c>
      <c r="K304" s="35">
        <v>1263194.602640992</v>
      </c>
      <c r="L304" s="35">
        <v>346389.52234839852</v>
      </c>
      <c r="M304" s="35">
        <v>1886925.4776516019</v>
      </c>
      <c r="N304" s="35">
        <v>623730.87501060986</v>
      </c>
    </row>
    <row r="305" spans="1:14" x14ac:dyDescent="0.25">
      <c r="A305" t="s">
        <v>316</v>
      </c>
      <c r="B305" s="2">
        <v>45607</v>
      </c>
      <c r="C305" t="s">
        <v>616</v>
      </c>
      <c r="D305" t="s">
        <v>618</v>
      </c>
      <c r="E305" t="s">
        <v>624</v>
      </c>
      <c r="F305" t="s">
        <v>628</v>
      </c>
      <c r="G305" t="s">
        <v>633</v>
      </c>
      <c r="H305">
        <v>8</v>
      </c>
      <c r="I305" s="35">
        <v>167473</v>
      </c>
      <c r="J305" s="35">
        <v>1339784</v>
      </c>
      <c r="K305" s="35">
        <v>693985.32262035005</v>
      </c>
      <c r="L305" s="35">
        <v>105339.6590578147</v>
      </c>
      <c r="M305" s="35">
        <v>1234444.3409421849</v>
      </c>
      <c r="N305" s="35">
        <v>540459.01832183485</v>
      </c>
    </row>
    <row r="306" spans="1:14" x14ac:dyDescent="0.25">
      <c r="A306" t="s">
        <v>317</v>
      </c>
      <c r="B306" s="2">
        <v>45087</v>
      </c>
      <c r="C306" t="s">
        <v>614</v>
      </c>
      <c r="D306" t="s">
        <v>619</v>
      </c>
      <c r="E306" t="s">
        <v>622</v>
      </c>
      <c r="F306" t="s">
        <v>626</v>
      </c>
      <c r="G306" t="s">
        <v>632</v>
      </c>
      <c r="H306">
        <v>8</v>
      </c>
      <c r="I306" s="35">
        <v>320741</v>
      </c>
      <c r="J306" s="35">
        <v>2565928</v>
      </c>
      <c r="K306" s="35">
        <v>1383784.7583240671</v>
      </c>
      <c r="L306" s="35">
        <v>71463.183868090782</v>
      </c>
      <c r="M306" s="35">
        <v>2494464.8161319089</v>
      </c>
      <c r="N306" s="35">
        <v>1110680.0578078418</v>
      </c>
    </row>
    <row r="307" spans="1:14" x14ac:dyDescent="0.25">
      <c r="A307" t="s">
        <v>318</v>
      </c>
      <c r="B307" s="2">
        <v>45506</v>
      </c>
      <c r="C307" t="s">
        <v>617</v>
      </c>
      <c r="D307" t="s">
        <v>619</v>
      </c>
      <c r="E307" t="s">
        <v>624</v>
      </c>
      <c r="F307" t="s">
        <v>629</v>
      </c>
      <c r="G307" t="s">
        <v>633</v>
      </c>
      <c r="H307">
        <v>3</v>
      </c>
      <c r="I307" s="35">
        <v>441775</v>
      </c>
      <c r="J307" s="35">
        <v>1325325</v>
      </c>
      <c r="K307" s="35">
        <v>903605.3791945416</v>
      </c>
      <c r="L307" s="35">
        <v>2840.25038362032</v>
      </c>
      <c r="M307" s="35">
        <v>1322484.7496163801</v>
      </c>
      <c r="N307" s="35">
        <v>418879.37042183848</v>
      </c>
    </row>
    <row r="308" spans="1:14" x14ac:dyDescent="0.25">
      <c r="A308" t="s">
        <v>319</v>
      </c>
      <c r="B308" s="2">
        <v>45324</v>
      </c>
      <c r="C308" t="s">
        <v>615</v>
      </c>
      <c r="D308" t="s">
        <v>618</v>
      </c>
      <c r="E308" t="s">
        <v>624</v>
      </c>
      <c r="F308" t="s">
        <v>629</v>
      </c>
      <c r="G308" t="s">
        <v>631</v>
      </c>
      <c r="H308">
        <v>1</v>
      </c>
      <c r="I308" s="35">
        <v>376053</v>
      </c>
      <c r="J308" s="35">
        <v>376053</v>
      </c>
      <c r="K308" s="35">
        <v>283857.56082012202</v>
      </c>
      <c r="L308" s="35">
        <v>40933.920871319227</v>
      </c>
      <c r="M308" s="35">
        <v>335119.07912868081</v>
      </c>
      <c r="N308" s="35">
        <v>51261.518308558792</v>
      </c>
    </row>
    <row r="309" spans="1:14" x14ac:dyDescent="0.25">
      <c r="A309" t="s">
        <v>320</v>
      </c>
      <c r="B309" s="2">
        <v>45203</v>
      </c>
      <c r="C309" t="s">
        <v>617</v>
      </c>
      <c r="D309" t="s">
        <v>619</v>
      </c>
      <c r="E309" t="s">
        <v>621</v>
      </c>
      <c r="F309" t="s">
        <v>630</v>
      </c>
      <c r="G309" t="s">
        <v>631</v>
      </c>
      <c r="H309">
        <v>9</v>
      </c>
      <c r="I309" s="35">
        <v>384535</v>
      </c>
      <c r="J309" s="35">
        <v>3460815</v>
      </c>
      <c r="K309" s="35">
        <v>1777125.202165162</v>
      </c>
      <c r="L309" s="35">
        <v>675397.99438328494</v>
      </c>
      <c r="M309" s="35">
        <v>2785417.0056167152</v>
      </c>
      <c r="N309" s="35">
        <v>1008291.8034515532</v>
      </c>
    </row>
    <row r="310" spans="1:14" x14ac:dyDescent="0.25">
      <c r="A310" t="s">
        <v>321</v>
      </c>
      <c r="B310" s="2">
        <v>45430</v>
      </c>
      <c r="C310" t="s">
        <v>617</v>
      </c>
      <c r="D310" t="s">
        <v>619</v>
      </c>
      <c r="E310" t="s">
        <v>620</v>
      </c>
      <c r="F310" t="s">
        <v>627</v>
      </c>
      <c r="G310" t="s">
        <v>633</v>
      </c>
      <c r="H310">
        <v>6</v>
      </c>
      <c r="I310" s="35">
        <v>265286</v>
      </c>
      <c r="J310" s="35">
        <v>1591716</v>
      </c>
      <c r="K310" s="35">
        <v>1146426.09163102</v>
      </c>
      <c r="L310" s="35">
        <v>117511.9971730423</v>
      </c>
      <c r="M310" s="35">
        <v>1474204.002826958</v>
      </c>
      <c r="N310" s="35">
        <v>327777.91119593801</v>
      </c>
    </row>
    <row r="311" spans="1:14" x14ac:dyDescent="0.25">
      <c r="A311" t="s">
        <v>322</v>
      </c>
      <c r="B311" s="2">
        <v>45318</v>
      </c>
      <c r="C311" t="s">
        <v>616</v>
      </c>
      <c r="D311" t="s">
        <v>619</v>
      </c>
      <c r="E311" t="s">
        <v>620</v>
      </c>
      <c r="F311" t="s">
        <v>628</v>
      </c>
      <c r="G311" t="s">
        <v>633</v>
      </c>
      <c r="H311">
        <v>9</v>
      </c>
      <c r="I311" s="35">
        <v>451479</v>
      </c>
      <c r="J311" s="35">
        <v>4063311</v>
      </c>
      <c r="K311" s="35">
        <v>2447720.642578186</v>
      </c>
      <c r="L311" s="35">
        <v>290276.70796592272</v>
      </c>
      <c r="M311" s="35">
        <v>3773034.292034077</v>
      </c>
      <c r="N311" s="35">
        <v>1325313.649455891</v>
      </c>
    </row>
    <row r="312" spans="1:14" x14ac:dyDescent="0.25">
      <c r="A312" t="s">
        <v>323</v>
      </c>
      <c r="B312" s="2">
        <v>45061</v>
      </c>
      <c r="C312" t="s">
        <v>614</v>
      </c>
      <c r="D312" t="s">
        <v>618</v>
      </c>
      <c r="E312" t="s">
        <v>624</v>
      </c>
      <c r="F312" t="s">
        <v>627</v>
      </c>
      <c r="G312" t="s">
        <v>631</v>
      </c>
      <c r="H312">
        <v>7</v>
      </c>
      <c r="I312" s="35">
        <v>375437</v>
      </c>
      <c r="J312" s="35">
        <v>2628059</v>
      </c>
      <c r="K312" s="35">
        <v>1691309.736796699</v>
      </c>
      <c r="L312" s="35">
        <v>180858.61462275739</v>
      </c>
      <c r="M312" s="35">
        <v>2447200.3853772432</v>
      </c>
      <c r="N312" s="35">
        <v>755890.64858054416</v>
      </c>
    </row>
    <row r="313" spans="1:14" x14ac:dyDescent="0.25">
      <c r="A313" t="s">
        <v>324</v>
      </c>
      <c r="B313" s="2">
        <v>45121</v>
      </c>
      <c r="C313" t="s">
        <v>613</v>
      </c>
      <c r="D313" t="s">
        <v>618</v>
      </c>
      <c r="E313" t="s">
        <v>623</v>
      </c>
      <c r="F313" t="s">
        <v>625</v>
      </c>
      <c r="G313" t="s">
        <v>631</v>
      </c>
      <c r="H313">
        <v>1</v>
      </c>
      <c r="I313" s="35">
        <v>293896</v>
      </c>
      <c r="J313" s="35">
        <v>293896</v>
      </c>
      <c r="K313" s="35">
        <v>228844.4318784237</v>
      </c>
      <c r="L313" s="35">
        <v>30597.150321709742</v>
      </c>
      <c r="M313" s="35">
        <v>263298.84967829031</v>
      </c>
      <c r="N313" s="35">
        <v>34454.417799866613</v>
      </c>
    </row>
    <row r="314" spans="1:14" x14ac:dyDescent="0.25">
      <c r="A314" t="s">
        <v>325</v>
      </c>
      <c r="B314" s="2">
        <v>45327</v>
      </c>
      <c r="C314" t="s">
        <v>614</v>
      </c>
      <c r="D314" t="s">
        <v>618</v>
      </c>
      <c r="E314" t="s">
        <v>622</v>
      </c>
      <c r="F314" t="s">
        <v>625</v>
      </c>
      <c r="G314" t="s">
        <v>631</v>
      </c>
      <c r="H314">
        <v>1</v>
      </c>
      <c r="I314" s="35">
        <v>206877</v>
      </c>
      <c r="J314" s="35">
        <v>206877</v>
      </c>
      <c r="K314" s="35">
        <v>124041.6806955713</v>
      </c>
      <c r="L314" s="35">
        <v>18232.685817633519</v>
      </c>
      <c r="M314" s="35">
        <v>188644.31418236651</v>
      </c>
      <c r="N314" s="35">
        <v>64602.63348679521</v>
      </c>
    </row>
    <row r="315" spans="1:14" x14ac:dyDescent="0.25">
      <c r="A315" t="s">
        <v>326</v>
      </c>
      <c r="B315" s="2">
        <v>45566</v>
      </c>
      <c r="C315" t="s">
        <v>614</v>
      </c>
      <c r="D315" t="s">
        <v>618</v>
      </c>
      <c r="E315" t="s">
        <v>623</v>
      </c>
      <c r="F315" t="s">
        <v>626</v>
      </c>
      <c r="G315" t="s">
        <v>633</v>
      </c>
      <c r="H315">
        <v>6</v>
      </c>
      <c r="I315" s="35">
        <v>61874</v>
      </c>
      <c r="J315" s="35">
        <v>371244</v>
      </c>
      <c r="K315" s="35">
        <v>237448.0634110292</v>
      </c>
      <c r="L315" s="35">
        <v>65332.60513692876</v>
      </c>
      <c r="M315" s="35">
        <v>305911.39486307133</v>
      </c>
      <c r="N315" s="35">
        <v>68463.331452042126</v>
      </c>
    </row>
    <row r="316" spans="1:14" x14ac:dyDescent="0.25">
      <c r="A316" t="s">
        <v>327</v>
      </c>
      <c r="B316" s="2">
        <v>44959</v>
      </c>
      <c r="C316" t="s">
        <v>617</v>
      </c>
      <c r="D316" t="s">
        <v>618</v>
      </c>
      <c r="E316" t="s">
        <v>623</v>
      </c>
      <c r="F316" t="s">
        <v>630</v>
      </c>
      <c r="G316" t="s">
        <v>631</v>
      </c>
      <c r="H316">
        <v>5</v>
      </c>
      <c r="I316" s="35">
        <v>274137</v>
      </c>
      <c r="J316" s="35">
        <v>1370685</v>
      </c>
      <c r="K316" s="35">
        <v>690968.78420287324</v>
      </c>
      <c r="L316" s="35">
        <v>138581.9532807025</v>
      </c>
      <c r="M316" s="35">
        <v>1232103.046719298</v>
      </c>
      <c r="N316" s="35">
        <v>541134.26251642476</v>
      </c>
    </row>
    <row r="317" spans="1:14" x14ac:dyDescent="0.25">
      <c r="A317" t="s">
        <v>328</v>
      </c>
      <c r="B317" s="2">
        <v>45614</v>
      </c>
      <c r="C317" t="s">
        <v>614</v>
      </c>
      <c r="D317" t="s">
        <v>618</v>
      </c>
      <c r="E317" t="s">
        <v>624</v>
      </c>
      <c r="F317" t="s">
        <v>630</v>
      </c>
      <c r="G317" t="s">
        <v>631</v>
      </c>
      <c r="H317">
        <v>9</v>
      </c>
      <c r="I317" s="35">
        <v>398546</v>
      </c>
      <c r="J317" s="35">
        <v>3586914</v>
      </c>
      <c r="K317" s="35">
        <v>1881263.2773502311</v>
      </c>
      <c r="L317" s="35">
        <v>364256.73968166241</v>
      </c>
      <c r="M317" s="35">
        <v>3222657.260318337</v>
      </c>
      <c r="N317" s="35">
        <v>1341393.9829681059</v>
      </c>
    </row>
    <row r="318" spans="1:14" x14ac:dyDescent="0.25">
      <c r="A318" t="s">
        <v>329</v>
      </c>
      <c r="B318" s="2">
        <v>45386</v>
      </c>
      <c r="C318" t="s">
        <v>615</v>
      </c>
      <c r="D318" t="s">
        <v>618</v>
      </c>
      <c r="E318" t="s">
        <v>624</v>
      </c>
      <c r="F318" t="s">
        <v>630</v>
      </c>
      <c r="G318" t="s">
        <v>632</v>
      </c>
      <c r="H318">
        <v>2</v>
      </c>
      <c r="I318" s="35">
        <v>326223</v>
      </c>
      <c r="J318" s="35">
        <v>652446</v>
      </c>
      <c r="K318" s="35">
        <v>376838.11478085758</v>
      </c>
      <c r="L318" s="35">
        <v>18055.998697809649</v>
      </c>
      <c r="M318" s="35">
        <v>634390.00130219036</v>
      </c>
      <c r="N318" s="35">
        <v>257551.88652133278</v>
      </c>
    </row>
    <row r="319" spans="1:14" x14ac:dyDescent="0.25">
      <c r="A319" t="s">
        <v>330</v>
      </c>
      <c r="B319" s="2">
        <v>45396</v>
      </c>
      <c r="C319" t="s">
        <v>617</v>
      </c>
      <c r="D319" t="s">
        <v>619</v>
      </c>
      <c r="E319" t="s">
        <v>624</v>
      </c>
      <c r="F319" t="s">
        <v>626</v>
      </c>
      <c r="G319" t="s">
        <v>633</v>
      </c>
      <c r="H319">
        <v>8</v>
      </c>
      <c r="I319" s="35">
        <v>493066</v>
      </c>
      <c r="J319" s="35">
        <v>3944528</v>
      </c>
      <c r="K319" s="35">
        <v>2005223.183134441</v>
      </c>
      <c r="L319" s="35">
        <v>775288.72716563265</v>
      </c>
      <c r="M319" s="35">
        <v>3169239.2728343671</v>
      </c>
      <c r="N319" s="35">
        <v>1164016.0896999261</v>
      </c>
    </row>
    <row r="320" spans="1:14" x14ac:dyDescent="0.25">
      <c r="A320" t="s">
        <v>331</v>
      </c>
      <c r="B320" s="2">
        <v>45301</v>
      </c>
      <c r="C320" t="s">
        <v>615</v>
      </c>
      <c r="D320" t="s">
        <v>619</v>
      </c>
      <c r="E320" t="s">
        <v>624</v>
      </c>
      <c r="F320" t="s">
        <v>625</v>
      </c>
      <c r="G320" t="s">
        <v>632</v>
      </c>
      <c r="H320">
        <v>5</v>
      </c>
      <c r="I320" s="35">
        <v>384923</v>
      </c>
      <c r="J320" s="35">
        <v>1924615</v>
      </c>
      <c r="K320" s="35">
        <v>1326853.826942706</v>
      </c>
      <c r="L320" s="35">
        <v>96220.315071902529</v>
      </c>
      <c r="M320" s="35">
        <v>1828394.684928098</v>
      </c>
      <c r="N320" s="35">
        <v>501540.85798539198</v>
      </c>
    </row>
    <row r="321" spans="1:14" x14ac:dyDescent="0.25">
      <c r="A321" t="s">
        <v>332</v>
      </c>
      <c r="B321" s="2">
        <v>44948</v>
      </c>
      <c r="C321" t="s">
        <v>613</v>
      </c>
      <c r="D321" t="s">
        <v>618</v>
      </c>
      <c r="E321" t="s">
        <v>620</v>
      </c>
      <c r="F321" t="s">
        <v>627</v>
      </c>
      <c r="G321" t="s">
        <v>632</v>
      </c>
      <c r="H321">
        <v>2</v>
      </c>
      <c r="I321" s="35">
        <v>145408</v>
      </c>
      <c r="J321" s="35">
        <v>290816</v>
      </c>
      <c r="K321" s="35">
        <v>182609.0393594862</v>
      </c>
      <c r="L321" s="35">
        <v>4267.0889284663617</v>
      </c>
      <c r="M321" s="35">
        <v>286548.91107153363</v>
      </c>
      <c r="N321" s="35">
        <v>103939.87171204743</v>
      </c>
    </row>
    <row r="322" spans="1:14" x14ac:dyDescent="0.25">
      <c r="A322" t="s">
        <v>333</v>
      </c>
      <c r="B322" s="2">
        <v>45596</v>
      </c>
      <c r="C322" t="s">
        <v>617</v>
      </c>
      <c r="D322" t="s">
        <v>619</v>
      </c>
      <c r="E322" t="s">
        <v>624</v>
      </c>
      <c r="F322" t="s">
        <v>626</v>
      </c>
      <c r="G322" t="s">
        <v>631</v>
      </c>
      <c r="H322">
        <v>6</v>
      </c>
      <c r="I322" s="35">
        <v>452234</v>
      </c>
      <c r="J322" s="35">
        <v>2713404</v>
      </c>
      <c r="K322" s="35">
        <v>1802903.8156989079</v>
      </c>
      <c r="L322" s="35">
        <v>359876.73691086553</v>
      </c>
      <c r="M322" s="35">
        <v>2353527.2630891339</v>
      </c>
      <c r="N322" s="35">
        <v>550623.44739022595</v>
      </c>
    </row>
    <row r="323" spans="1:14" x14ac:dyDescent="0.25">
      <c r="A323" t="s">
        <v>334</v>
      </c>
      <c r="B323" s="2">
        <v>44964</v>
      </c>
      <c r="C323" t="s">
        <v>613</v>
      </c>
      <c r="D323" t="s">
        <v>619</v>
      </c>
      <c r="E323" t="s">
        <v>620</v>
      </c>
      <c r="F323" t="s">
        <v>626</v>
      </c>
      <c r="G323" t="s">
        <v>633</v>
      </c>
      <c r="H323">
        <v>8</v>
      </c>
      <c r="I323" s="35">
        <v>170606</v>
      </c>
      <c r="J323" s="35">
        <v>1364848</v>
      </c>
      <c r="K323" s="35">
        <v>753934.05871287</v>
      </c>
      <c r="L323" s="35">
        <v>162516.91991517349</v>
      </c>
      <c r="M323" s="35">
        <v>1202331.080084827</v>
      </c>
      <c r="N323" s="35">
        <v>448397.02137195703</v>
      </c>
    </row>
    <row r="324" spans="1:14" x14ac:dyDescent="0.25">
      <c r="A324" t="s">
        <v>335</v>
      </c>
      <c r="B324" s="2">
        <v>45156</v>
      </c>
      <c r="C324" t="s">
        <v>617</v>
      </c>
      <c r="D324" t="s">
        <v>618</v>
      </c>
      <c r="E324" t="s">
        <v>620</v>
      </c>
      <c r="F324" t="s">
        <v>627</v>
      </c>
      <c r="G324" t="s">
        <v>631</v>
      </c>
      <c r="H324">
        <v>4</v>
      </c>
      <c r="I324" s="35">
        <v>492716</v>
      </c>
      <c r="J324" s="35">
        <v>1970864</v>
      </c>
      <c r="K324" s="35">
        <v>1160404.5349790701</v>
      </c>
      <c r="L324" s="35">
        <v>163639.1248421518</v>
      </c>
      <c r="M324" s="35">
        <v>1807224.875157848</v>
      </c>
      <c r="N324" s="35">
        <v>646820.34017877793</v>
      </c>
    </row>
    <row r="325" spans="1:14" x14ac:dyDescent="0.25">
      <c r="A325" t="s">
        <v>336</v>
      </c>
      <c r="B325" s="2">
        <v>45291</v>
      </c>
      <c r="C325" t="s">
        <v>616</v>
      </c>
      <c r="D325" t="s">
        <v>619</v>
      </c>
      <c r="E325" t="s">
        <v>624</v>
      </c>
      <c r="F325" t="s">
        <v>630</v>
      </c>
      <c r="G325" t="s">
        <v>633</v>
      </c>
      <c r="H325">
        <v>2</v>
      </c>
      <c r="I325" s="35">
        <v>170062</v>
      </c>
      <c r="J325" s="35">
        <v>340124</v>
      </c>
      <c r="K325" s="35">
        <v>237796.79070544249</v>
      </c>
      <c r="L325" s="35">
        <v>28719.542271286351</v>
      </c>
      <c r="M325" s="35">
        <v>311404.45772871358</v>
      </c>
      <c r="N325" s="35">
        <v>73607.667023271089</v>
      </c>
    </row>
    <row r="326" spans="1:14" x14ac:dyDescent="0.25">
      <c r="A326" t="s">
        <v>337</v>
      </c>
      <c r="B326" s="2">
        <v>45489</v>
      </c>
      <c r="C326" t="s">
        <v>614</v>
      </c>
      <c r="D326" t="s">
        <v>619</v>
      </c>
      <c r="E326" t="s">
        <v>621</v>
      </c>
      <c r="F326" t="s">
        <v>628</v>
      </c>
      <c r="G326" t="s">
        <v>632</v>
      </c>
      <c r="H326">
        <v>5</v>
      </c>
      <c r="I326" s="35">
        <v>62100</v>
      </c>
      <c r="J326" s="35">
        <v>310500</v>
      </c>
      <c r="K326" s="35">
        <v>245167.94870617171</v>
      </c>
      <c r="L326" s="35">
        <v>48752.46949698338</v>
      </c>
      <c r="M326" s="35">
        <v>261747.53050301661</v>
      </c>
      <c r="N326" s="35">
        <v>16579.581796844897</v>
      </c>
    </row>
    <row r="327" spans="1:14" x14ac:dyDescent="0.25">
      <c r="A327" t="s">
        <v>338</v>
      </c>
      <c r="B327" s="2">
        <v>45364</v>
      </c>
      <c r="C327" t="s">
        <v>616</v>
      </c>
      <c r="D327" t="s">
        <v>619</v>
      </c>
      <c r="E327" t="s">
        <v>622</v>
      </c>
      <c r="F327" t="s">
        <v>627</v>
      </c>
      <c r="G327" t="s">
        <v>633</v>
      </c>
      <c r="H327">
        <v>2</v>
      </c>
      <c r="I327" s="35">
        <v>369165</v>
      </c>
      <c r="J327" s="35">
        <v>738330</v>
      </c>
      <c r="K327" s="35">
        <v>380332.26493611571</v>
      </c>
      <c r="L327" s="35">
        <v>28900.10271295478</v>
      </c>
      <c r="M327" s="35">
        <v>709429.89728704526</v>
      </c>
      <c r="N327" s="35">
        <v>329097.63235092955</v>
      </c>
    </row>
    <row r="328" spans="1:14" x14ac:dyDescent="0.25">
      <c r="A328" t="s">
        <v>339</v>
      </c>
      <c r="B328" s="2">
        <v>45209</v>
      </c>
      <c r="C328" t="s">
        <v>613</v>
      </c>
      <c r="D328" t="s">
        <v>619</v>
      </c>
      <c r="E328" t="s">
        <v>623</v>
      </c>
      <c r="F328" t="s">
        <v>625</v>
      </c>
      <c r="G328" t="s">
        <v>631</v>
      </c>
      <c r="H328">
        <v>2</v>
      </c>
      <c r="I328" s="35">
        <v>200872</v>
      </c>
      <c r="J328" s="35">
        <v>401744</v>
      </c>
      <c r="K328" s="35">
        <v>308183.96757930343</v>
      </c>
      <c r="L328" s="35">
        <v>65906.369873239164</v>
      </c>
      <c r="M328" s="35">
        <v>335837.63012676081</v>
      </c>
      <c r="N328" s="35">
        <v>27653.662547457381</v>
      </c>
    </row>
    <row r="329" spans="1:14" x14ac:dyDescent="0.25">
      <c r="A329" t="s">
        <v>340</v>
      </c>
      <c r="B329" s="2">
        <v>44953</v>
      </c>
      <c r="C329" t="s">
        <v>614</v>
      </c>
      <c r="D329" t="s">
        <v>619</v>
      </c>
      <c r="E329" t="s">
        <v>620</v>
      </c>
      <c r="F329" t="s">
        <v>629</v>
      </c>
      <c r="G329" t="s">
        <v>631</v>
      </c>
      <c r="H329">
        <v>6</v>
      </c>
      <c r="I329" s="35">
        <v>440270</v>
      </c>
      <c r="J329" s="35">
        <v>2641620</v>
      </c>
      <c r="K329" s="35">
        <v>1777980.275702314</v>
      </c>
      <c r="L329" s="35">
        <v>342748.6702014716</v>
      </c>
      <c r="M329" s="35">
        <v>2298871.329798528</v>
      </c>
      <c r="N329" s="35">
        <v>520891.05409621401</v>
      </c>
    </row>
    <row r="330" spans="1:14" x14ac:dyDescent="0.25">
      <c r="A330" t="s">
        <v>341</v>
      </c>
      <c r="B330" s="2">
        <v>45152</v>
      </c>
      <c r="C330" t="s">
        <v>617</v>
      </c>
      <c r="D330" t="s">
        <v>618</v>
      </c>
      <c r="E330" t="s">
        <v>622</v>
      </c>
      <c r="F330" t="s">
        <v>629</v>
      </c>
      <c r="G330" t="s">
        <v>631</v>
      </c>
      <c r="H330">
        <v>9</v>
      </c>
      <c r="I330" s="35">
        <v>244472</v>
      </c>
      <c r="J330" s="35">
        <v>2200248</v>
      </c>
      <c r="K330" s="35">
        <v>1472352.869674478</v>
      </c>
      <c r="L330" s="35">
        <v>184367.4813637702</v>
      </c>
      <c r="M330" s="35">
        <v>2015880.5186362299</v>
      </c>
      <c r="N330" s="35">
        <v>543527.64896175195</v>
      </c>
    </row>
    <row r="331" spans="1:14" x14ac:dyDescent="0.25">
      <c r="A331" t="s">
        <v>342</v>
      </c>
      <c r="B331" s="2">
        <v>45203</v>
      </c>
      <c r="C331" t="s">
        <v>614</v>
      </c>
      <c r="D331" t="s">
        <v>618</v>
      </c>
      <c r="E331" t="s">
        <v>621</v>
      </c>
      <c r="F331" t="s">
        <v>626</v>
      </c>
      <c r="G331" t="s">
        <v>633</v>
      </c>
      <c r="H331">
        <v>4</v>
      </c>
      <c r="I331" s="35">
        <v>404590</v>
      </c>
      <c r="J331" s="35">
        <v>1618360</v>
      </c>
      <c r="K331" s="35">
        <v>1052069.2310716489</v>
      </c>
      <c r="L331" s="35">
        <v>148251.03838693391</v>
      </c>
      <c r="M331" s="35">
        <v>1470108.961613066</v>
      </c>
      <c r="N331" s="35">
        <v>418039.73054141714</v>
      </c>
    </row>
    <row r="332" spans="1:14" x14ac:dyDescent="0.25">
      <c r="A332" t="s">
        <v>343</v>
      </c>
      <c r="B332" s="2">
        <v>45535</v>
      </c>
      <c r="C332" t="s">
        <v>615</v>
      </c>
      <c r="D332" t="s">
        <v>618</v>
      </c>
      <c r="E332" t="s">
        <v>623</v>
      </c>
      <c r="F332" t="s">
        <v>629</v>
      </c>
      <c r="G332" t="s">
        <v>632</v>
      </c>
      <c r="H332">
        <v>6</v>
      </c>
      <c r="I332" s="35">
        <v>341581</v>
      </c>
      <c r="J332" s="35">
        <v>2049486</v>
      </c>
      <c r="K332" s="35">
        <v>1067409.662263026</v>
      </c>
      <c r="L332" s="35">
        <v>105198.9716134005</v>
      </c>
      <c r="M332" s="35">
        <v>1944287.0283865989</v>
      </c>
      <c r="N332" s="35">
        <v>876877.36612357292</v>
      </c>
    </row>
    <row r="333" spans="1:14" x14ac:dyDescent="0.25">
      <c r="A333" t="s">
        <v>344</v>
      </c>
      <c r="B333" s="2">
        <v>45210</v>
      </c>
      <c r="C333" t="s">
        <v>614</v>
      </c>
      <c r="D333" t="s">
        <v>619</v>
      </c>
      <c r="E333" t="s">
        <v>623</v>
      </c>
      <c r="F333" t="s">
        <v>628</v>
      </c>
      <c r="G333" t="s">
        <v>632</v>
      </c>
      <c r="H333">
        <v>7</v>
      </c>
      <c r="I333" s="35">
        <v>284196</v>
      </c>
      <c r="J333" s="35">
        <v>1989372</v>
      </c>
      <c r="K333" s="35">
        <v>1048325.547687621</v>
      </c>
      <c r="L333" s="35">
        <v>299247.03885320917</v>
      </c>
      <c r="M333" s="35">
        <v>1690124.961146791</v>
      </c>
      <c r="N333" s="35">
        <v>641799.41345917003</v>
      </c>
    </row>
    <row r="334" spans="1:14" x14ac:dyDescent="0.25">
      <c r="A334" t="s">
        <v>345</v>
      </c>
      <c r="B334" s="2">
        <v>45407</v>
      </c>
      <c r="C334" t="s">
        <v>615</v>
      </c>
      <c r="D334" t="s">
        <v>618</v>
      </c>
      <c r="E334" t="s">
        <v>620</v>
      </c>
      <c r="F334" t="s">
        <v>630</v>
      </c>
      <c r="G334" t="s">
        <v>633</v>
      </c>
      <c r="H334">
        <v>6</v>
      </c>
      <c r="I334" s="35">
        <v>257609</v>
      </c>
      <c r="J334" s="35">
        <v>1545654</v>
      </c>
      <c r="K334" s="35">
        <v>1051467.613558497</v>
      </c>
      <c r="L334" s="35">
        <v>158545.37938862131</v>
      </c>
      <c r="M334" s="35">
        <v>1387108.6206113789</v>
      </c>
      <c r="N334" s="35">
        <v>335641.00705288188</v>
      </c>
    </row>
    <row r="335" spans="1:14" x14ac:dyDescent="0.25">
      <c r="A335" t="s">
        <v>346</v>
      </c>
      <c r="B335" s="2">
        <v>45379</v>
      </c>
      <c r="C335" t="s">
        <v>614</v>
      </c>
      <c r="D335" t="s">
        <v>619</v>
      </c>
      <c r="E335" t="s">
        <v>624</v>
      </c>
      <c r="F335" t="s">
        <v>625</v>
      </c>
      <c r="G335" t="s">
        <v>631</v>
      </c>
      <c r="H335">
        <v>8</v>
      </c>
      <c r="I335" s="35">
        <v>489891</v>
      </c>
      <c r="J335" s="35">
        <v>3919128</v>
      </c>
      <c r="K335" s="35">
        <v>2360442.0852459292</v>
      </c>
      <c r="L335" s="35">
        <v>251494.0044836218</v>
      </c>
      <c r="M335" s="35">
        <v>3667633.995516378</v>
      </c>
      <c r="N335" s="35">
        <v>1307191.9102704488</v>
      </c>
    </row>
    <row r="336" spans="1:14" x14ac:dyDescent="0.25">
      <c r="A336" t="s">
        <v>347</v>
      </c>
      <c r="B336" s="2">
        <v>45585</v>
      </c>
      <c r="C336" t="s">
        <v>615</v>
      </c>
      <c r="D336" t="s">
        <v>619</v>
      </c>
      <c r="E336" t="s">
        <v>621</v>
      </c>
      <c r="F336" t="s">
        <v>628</v>
      </c>
      <c r="G336" t="s">
        <v>632</v>
      </c>
      <c r="H336">
        <v>4</v>
      </c>
      <c r="I336" s="35">
        <v>201014</v>
      </c>
      <c r="J336" s="35">
        <v>804056</v>
      </c>
      <c r="K336" s="35">
        <v>623288.46776205511</v>
      </c>
      <c r="L336" s="35">
        <v>95851.534375657327</v>
      </c>
      <c r="M336" s="35">
        <v>708204.46562434267</v>
      </c>
      <c r="N336" s="35">
        <v>84915.997862287564</v>
      </c>
    </row>
    <row r="337" spans="1:14" x14ac:dyDescent="0.25">
      <c r="A337" t="s">
        <v>348</v>
      </c>
      <c r="B337" s="2">
        <v>45442</v>
      </c>
      <c r="C337" t="s">
        <v>613</v>
      </c>
      <c r="D337" t="s">
        <v>619</v>
      </c>
      <c r="E337" t="s">
        <v>620</v>
      </c>
      <c r="F337" t="s">
        <v>625</v>
      </c>
      <c r="G337" t="s">
        <v>631</v>
      </c>
      <c r="H337">
        <v>1</v>
      </c>
      <c r="I337" s="35">
        <v>333006</v>
      </c>
      <c r="J337" s="35">
        <v>333006</v>
      </c>
      <c r="K337" s="35">
        <v>207122.12654517859</v>
      </c>
      <c r="L337" s="35">
        <v>66317.109387960576</v>
      </c>
      <c r="M337" s="35">
        <v>266688.89061203942</v>
      </c>
      <c r="N337" s="35">
        <v>59566.764066860836</v>
      </c>
    </row>
    <row r="338" spans="1:14" x14ac:dyDescent="0.25">
      <c r="A338" t="s">
        <v>349</v>
      </c>
      <c r="B338" s="2">
        <v>45473</v>
      </c>
      <c r="C338" t="s">
        <v>616</v>
      </c>
      <c r="D338" t="s">
        <v>619</v>
      </c>
      <c r="E338" t="s">
        <v>621</v>
      </c>
      <c r="F338" t="s">
        <v>625</v>
      </c>
      <c r="G338" t="s">
        <v>633</v>
      </c>
      <c r="H338">
        <v>7</v>
      </c>
      <c r="I338" s="35">
        <v>323813</v>
      </c>
      <c r="J338" s="35">
        <v>2266691</v>
      </c>
      <c r="K338" s="35">
        <v>1230777.937872444</v>
      </c>
      <c r="L338" s="35">
        <v>197321.0183873988</v>
      </c>
      <c r="M338" s="35">
        <v>2069369.9816126011</v>
      </c>
      <c r="N338" s="35">
        <v>838592.04374015704</v>
      </c>
    </row>
    <row r="339" spans="1:14" x14ac:dyDescent="0.25">
      <c r="A339" t="s">
        <v>350</v>
      </c>
      <c r="B339" s="2">
        <v>45118</v>
      </c>
      <c r="C339" t="s">
        <v>617</v>
      </c>
      <c r="D339" t="s">
        <v>618</v>
      </c>
      <c r="E339" t="s">
        <v>624</v>
      </c>
      <c r="F339" t="s">
        <v>630</v>
      </c>
      <c r="G339" t="s">
        <v>631</v>
      </c>
      <c r="H339">
        <v>3</v>
      </c>
      <c r="I339" s="35">
        <v>433363</v>
      </c>
      <c r="J339" s="35">
        <v>1300089</v>
      </c>
      <c r="K339" s="35">
        <v>928803.9280586486</v>
      </c>
      <c r="L339" s="35">
        <v>239396.15250937501</v>
      </c>
      <c r="M339" s="35">
        <v>1060692.847490625</v>
      </c>
      <c r="N339" s="35">
        <v>131888.91943197639</v>
      </c>
    </row>
    <row r="340" spans="1:14" x14ac:dyDescent="0.25">
      <c r="A340" t="s">
        <v>351</v>
      </c>
      <c r="B340" s="2">
        <v>44975</v>
      </c>
      <c r="C340" t="s">
        <v>614</v>
      </c>
      <c r="D340" t="s">
        <v>618</v>
      </c>
      <c r="E340" t="s">
        <v>624</v>
      </c>
      <c r="F340" t="s">
        <v>626</v>
      </c>
      <c r="G340" t="s">
        <v>632</v>
      </c>
      <c r="H340">
        <v>6</v>
      </c>
      <c r="I340" s="35">
        <v>234844</v>
      </c>
      <c r="J340" s="35">
        <v>1409064</v>
      </c>
      <c r="K340" s="35">
        <v>828538.12362880644</v>
      </c>
      <c r="L340" s="35">
        <v>97230.161706293773</v>
      </c>
      <c r="M340" s="35">
        <v>1311833.8382937061</v>
      </c>
      <c r="N340" s="35">
        <v>483295.71466489963</v>
      </c>
    </row>
    <row r="341" spans="1:14" x14ac:dyDescent="0.25">
      <c r="A341" t="s">
        <v>352</v>
      </c>
      <c r="B341" s="2">
        <v>45438</v>
      </c>
      <c r="C341" t="s">
        <v>616</v>
      </c>
      <c r="D341" t="s">
        <v>619</v>
      </c>
      <c r="E341" t="s">
        <v>620</v>
      </c>
      <c r="F341" t="s">
        <v>629</v>
      </c>
      <c r="G341" t="s">
        <v>632</v>
      </c>
      <c r="H341">
        <v>2</v>
      </c>
      <c r="I341" s="35">
        <v>328060</v>
      </c>
      <c r="J341" s="35">
        <v>656120</v>
      </c>
      <c r="K341" s="35">
        <v>431491.47341870458</v>
      </c>
      <c r="L341" s="35">
        <v>7182.2447335243478</v>
      </c>
      <c r="M341" s="35">
        <v>648937.75526647561</v>
      </c>
      <c r="N341" s="35">
        <v>217446.28184777102</v>
      </c>
    </row>
    <row r="342" spans="1:14" x14ac:dyDescent="0.25">
      <c r="A342" t="s">
        <v>353</v>
      </c>
      <c r="B342" s="2">
        <v>44943</v>
      </c>
      <c r="C342" t="s">
        <v>617</v>
      </c>
      <c r="D342" t="s">
        <v>618</v>
      </c>
      <c r="E342" t="s">
        <v>624</v>
      </c>
      <c r="F342" t="s">
        <v>630</v>
      </c>
      <c r="G342" t="s">
        <v>631</v>
      </c>
      <c r="H342">
        <v>9</v>
      </c>
      <c r="I342" s="35">
        <v>323022</v>
      </c>
      <c r="J342" s="35">
        <v>2907198</v>
      </c>
      <c r="K342" s="35">
        <v>2062220.4235065179</v>
      </c>
      <c r="L342" s="35">
        <v>118754.4486300167</v>
      </c>
      <c r="M342" s="35">
        <v>2788443.5513699828</v>
      </c>
      <c r="N342" s="35">
        <v>726223.12786346488</v>
      </c>
    </row>
    <row r="343" spans="1:14" x14ac:dyDescent="0.25">
      <c r="A343" t="s">
        <v>354</v>
      </c>
      <c r="B343" s="2">
        <v>45098</v>
      </c>
      <c r="C343" t="s">
        <v>617</v>
      </c>
      <c r="D343" t="s">
        <v>619</v>
      </c>
      <c r="E343" t="s">
        <v>622</v>
      </c>
      <c r="F343" t="s">
        <v>628</v>
      </c>
      <c r="G343" t="s">
        <v>633</v>
      </c>
      <c r="H343">
        <v>1</v>
      </c>
      <c r="I343" s="35">
        <v>315129</v>
      </c>
      <c r="J343" s="35">
        <v>315129</v>
      </c>
      <c r="K343" s="35">
        <v>242674.29872969919</v>
      </c>
      <c r="L343" s="35">
        <v>26388.59636434196</v>
      </c>
      <c r="M343" s="35">
        <v>288740.40363565797</v>
      </c>
      <c r="N343" s="35">
        <v>46066.104905958782</v>
      </c>
    </row>
    <row r="344" spans="1:14" x14ac:dyDescent="0.25">
      <c r="A344" t="s">
        <v>355</v>
      </c>
      <c r="B344" s="2">
        <v>45146</v>
      </c>
      <c r="C344" t="s">
        <v>615</v>
      </c>
      <c r="D344" t="s">
        <v>618</v>
      </c>
      <c r="E344" t="s">
        <v>623</v>
      </c>
      <c r="F344" t="s">
        <v>626</v>
      </c>
      <c r="G344" t="s">
        <v>631</v>
      </c>
      <c r="H344">
        <v>6</v>
      </c>
      <c r="I344" s="35">
        <v>254720</v>
      </c>
      <c r="J344" s="35">
        <v>1528320</v>
      </c>
      <c r="K344" s="35">
        <v>1127376.4940517889</v>
      </c>
      <c r="L344" s="35">
        <v>67134.490813930344</v>
      </c>
      <c r="M344" s="35">
        <v>1461185.5091860699</v>
      </c>
      <c r="N344" s="35">
        <v>333809.01513428101</v>
      </c>
    </row>
    <row r="345" spans="1:14" x14ac:dyDescent="0.25">
      <c r="A345" t="s">
        <v>356</v>
      </c>
      <c r="B345" s="2">
        <v>45084</v>
      </c>
      <c r="C345" t="s">
        <v>613</v>
      </c>
      <c r="D345" t="s">
        <v>618</v>
      </c>
      <c r="E345" t="s">
        <v>620</v>
      </c>
      <c r="F345" t="s">
        <v>628</v>
      </c>
      <c r="G345" t="s">
        <v>633</v>
      </c>
      <c r="H345">
        <v>6</v>
      </c>
      <c r="I345" s="35">
        <v>91235</v>
      </c>
      <c r="J345" s="35">
        <v>547410</v>
      </c>
      <c r="K345" s="35">
        <v>384779.0436492624</v>
      </c>
      <c r="L345" s="35">
        <v>24.856598211052759</v>
      </c>
      <c r="M345" s="35">
        <v>547385.1434017889</v>
      </c>
      <c r="N345" s="35">
        <v>162606.0997525265</v>
      </c>
    </row>
    <row r="346" spans="1:14" x14ac:dyDescent="0.25">
      <c r="A346" t="s">
        <v>357</v>
      </c>
      <c r="B346" s="2">
        <v>45403</v>
      </c>
      <c r="C346" t="s">
        <v>613</v>
      </c>
      <c r="D346" t="s">
        <v>619</v>
      </c>
      <c r="E346" t="s">
        <v>621</v>
      </c>
      <c r="F346" t="s">
        <v>626</v>
      </c>
      <c r="G346" t="s">
        <v>631</v>
      </c>
      <c r="H346">
        <v>5</v>
      </c>
      <c r="I346" s="35">
        <v>331075</v>
      </c>
      <c r="J346" s="35">
        <v>1655375</v>
      </c>
      <c r="K346" s="35">
        <v>1165201.833792208</v>
      </c>
      <c r="L346" s="35">
        <v>302934.13410976261</v>
      </c>
      <c r="M346" s="35">
        <v>1352440.865890238</v>
      </c>
      <c r="N346" s="35">
        <v>187239.03209802997</v>
      </c>
    </row>
    <row r="347" spans="1:14" x14ac:dyDescent="0.25">
      <c r="A347" t="s">
        <v>358</v>
      </c>
      <c r="B347" s="2">
        <v>44972</v>
      </c>
      <c r="C347" t="s">
        <v>616</v>
      </c>
      <c r="D347" t="s">
        <v>618</v>
      </c>
      <c r="E347" t="s">
        <v>622</v>
      </c>
      <c r="F347" t="s">
        <v>628</v>
      </c>
      <c r="G347" t="s">
        <v>632</v>
      </c>
      <c r="H347">
        <v>5</v>
      </c>
      <c r="I347" s="35">
        <v>142876</v>
      </c>
      <c r="J347" s="35">
        <v>714380</v>
      </c>
      <c r="K347" s="35">
        <v>559914.8941610927</v>
      </c>
      <c r="L347" s="35">
        <v>120570.1147590302</v>
      </c>
      <c r="M347" s="35">
        <v>593809.88524096983</v>
      </c>
      <c r="N347" s="35">
        <v>33894.991079877131</v>
      </c>
    </row>
    <row r="348" spans="1:14" x14ac:dyDescent="0.25">
      <c r="A348" t="s">
        <v>359</v>
      </c>
      <c r="B348" s="2">
        <v>45299</v>
      </c>
      <c r="C348" t="s">
        <v>613</v>
      </c>
      <c r="D348" t="s">
        <v>619</v>
      </c>
      <c r="E348" t="s">
        <v>620</v>
      </c>
      <c r="F348" t="s">
        <v>630</v>
      </c>
      <c r="G348" t="s">
        <v>633</v>
      </c>
      <c r="H348">
        <v>1</v>
      </c>
      <c r="I348" s="35">
        <v>50336</v>
      </c>
      <c r="J348" s="35">
        <v>50336</v>
      </c>
      <c r="K348" s="35">
        <v>29635.180531475689</v>
      </c>
      <c r="L348" s="35">
        <v>7472.8043528253947</v>
      </c>
      <c r="M348" s="35">
        <v>42863.195647174609</v>
      </c>
      <c r="N348" s="35">
        <v>13228.01511569892</v>
      </c>
    </row>
    <row r="349" spans="1:14" x14ac:dyDescent="0.25">
      <c r="A349" t="s">
        <v>360</v>
      </c>
      <c r="B349" s="2">
        <v>45444</v>
      </c>
      <c r="C349" t="s">
        <v>614</v>
      </c>
      <c r="D349" t="s">
        <v>618</v>
      </c>
      <c r="E349" t="s">
        <v>624</v>
      </c>
      <c r="F349" t="s">
        <v>626</v>
      </c>
      <c r="G349" t="s">
        <v>633</v>
      </c>
      <c r="H349">
        <v>5</v>
      </c>
      <c r="I349" s="35">
        <v>355077</v>
      </c>
      <c r="J349" s="35">
        <v>1775385</v>
      </c>
      <c r="K349" s="35">
        <v>888284.81860634941</v>
      </c>
      <c r="L349" s="35">
        <v>59587.10317820491</v>
      </c>
      <c r="M349" s="35">
        <v>1715797.896821795</v>
      </c>
      <c r="N349" s="35">
        <v>827513.07821544562</v>
      </c>
    </row>
    <row r="350" spans="1:14" x14ac:dyDescent="0.25">
      <c r="A350" t="s">
        <v>361</v>
      </c>
      <c r="B350" s="2">
        <v>45025</v>
      </c>
      <c r="C350" t="s">
        <v>613</v>
      </c>
      <c r="D350" t="s">
        <v>619</v>
      </c>
      <c r="E350" t="s">
        <v>624</v>
      </c>
      <c r="F350" t="s">
        <v>626</v>
      </c>
      <c r="G350" t="s">
        <v>633</v>
      </c>
      <c r="H350">
        <v>2</v>
      </c>
      <c r="I350" s="35">
        <v>357680</v>
      </c>
      <c r="J350" s="35">
        <v>715360</v>
      </c>
      <c r="K350" s="35">
        <v>416043.62408332858</v>
      </c>
      <c r="L350" s="35">
        <v>17220.657575515121</v>
      </c>
      <c r="M350" s="35">
        <v>698139.3424244849</v>
      </c>
      <c r="N350" s="35">
        <v>282095.71834115632</v>
      </c>
    </row>
    <row r="351" spans="1:14" x14ac:dyDescent="0.25">
      <c r="A351" t="s">
        <v>362</v>
      </c>
      <c r="B351" s="2">
        <v>44963</v>
      </c>
      <c r="C351" t="s">
        <v>616</v>
      </c>
      <c r="D351" t="s">
        <v>619</v>
      </c>
      <c r="E351" t="s">
        <v>624</v>
      </c>
      <c r="F351" t="s">
        <v>625</v>
      </c>
      <c r="G351" t="s">
        <v>632</v>
      </c>
      <c r="H351">
        <v>7</v>
      </c>
      <c r="I351" s="35">
        <v>119504</v>
      </c>
      <c r="J351" s="35">
        <v>836528</v>
      </c>
      <c r="K351" s="35">
        <v>472945.67200492031</v>
      </c>
      <c r="L351" s="35">
        <v>11310.653173326749</v>
      </c>
      <c r="M351" s="35">
        <v>825217.34682667325</v>
      </c>
      <c r="N351" s="35">
        <v>352271.67482175294</v>
      </c>
    </row>
    <row r="352" spans="1:14" x14ac:dyDescent="0.25">
      <c r="A352" t="s">
        <v>363</v>
      </c>
      <c r="B352" s="2">
        <v>45206</v>
      </c>
      <c r="C352" t="s">
        <v>613</v>
      </c>
      <c r="D352" t="s">
        <v>618</v>
      </c>
      <c r="E352" t="s">
        <v>624</v>
      </c>
      <c r="F352" t="s">
        <v>625</v>
      </c>
      <c r="G352" t="s">
        <v>631</v>
      </c>
      <c r="H352">
        <v>3</v>
      </c>
      <c r="I352" s="35">
        <v>149214</v>
      </c>
      <c r="J352" s="35">
        <v>447642</v>
      </c>
      <c r="K352" s="35">
        <v>312700.48720488022</v>
      </c>
      <c r="L352" s="35">
        <v>64821.174824137597</v>
      </c>
      <c r="M352" s="35">
        <v>382820.82517586241</v>
      </c>
      <c r="N352" s="35">
        <v>70120.337970982189</v>
      </c>
    </row>
    <row r="353" spans="1:14" x14ac:dyDescent="0.25">
      <c r="A353" t="s">
        <v>364</v>
      </c>
      <c r="B353" s="2">
        <v>45275</v>
      </c>
      <c r="C353" t="s">
        <v>614</v>
      </c>
      <c r="D353" t="s">
        <v>618</v>
      </c>
      <c r="E353" t="s">
        <v>621</v>
      </c>
      <c r="F353" t="s">
        <v>627</v>
      </c>
      <c r="G353" t="s">
        <v>632</v>
      </c>
      <c r="H353">
        <v>4</v>
      </c>
      <c r="I353" s="35">
        <v>232220</v>
      </c>
      <c r="J353" s="35">
        <v>928880</v>
      </c>
      <c r="K353" s="35">
        <v>641032.60923706146</v>
      </c>
      <c r="L353" s="35">
        <v>172550.22770475259</v>
      </c>
      <c r="M353" s="35">
        <v>756329.77229524741</v>
      </c>
      <c r="N353" s="35">
        <v>115297.16305818595</v>
      </c>
    </row>
    <row r="354" spans="1:14" x14ac:dyDescent="0.25">
      <c r="A354" t="s">
        <v>365</v>
      </c>
      <c r="B354" s="2">
        <v>45423</v>
      </c>
      <c r="C354" t="s">
        <v>615</v>
      </c>
      <c r="D354" t="s">
        <v>619</v>
      </c>
      <c r="E354" t="s">
        <v>622</v>
      </c>
      <c r="F354" t="s">
        <v>628</v>
      </c>
      <c r="G354" t="s">
        <v>633</v>
      </c>
      <c r="H354">
        <v>3</v>
      </c>
      <c r="I354" s="35">
        <v>163936</v>
      </c>
      <c r="J354" s="35">
        <v>491808</v>
      </c>
      <c r="K354" s="35">
        <v>333464.71671157342</v>
      </c>
      <c r="L354" s="35">
        <v>42348.192202319777</v>
      </c>
      <c r="M354" s="35">
        <v>449459.8077976802</v>
      </c>
      <c r="N354" s="35">
        <v>115995.09108610678</v>
      </c>
    </row>
    <row r="355" spans="1:14" x14ac:dyDescent="0.25">
      <c r="A355" t="s">
        <v>366</v>
      </c>
      <c r="B355" s="2">
        <v>45228</v>
      </c>
      <c r="C355" t="s">
        <v>616</v>
      </c>
      <c r="D355" t="s">
        <v>618</v>
      </c>
      <c r="E355" t="s">
        <v>623</v>
      </c>
      <c r="F355" t="s">
        <v>625</v>
      </c>
      <c r="G355" t="s">
        <v>631</v>
      </c>
      <c r="H355">
        <v>3</v>
      </c>
      <c r="I355" s="35">
        <v>66279</v>
      </c>
      <c r="J355" s="35">
        <v>198837</v>
      </c>
      <c r="K355" s="35">
        <v>100387.4392552315</v>
      </c>
      <c r="L355" s="35">
        <v>4737.9147595356462</v>
      </c>
      <c r="M355" s="35">
        <v>194099.0852404644</v>
      </c>
      <c r="N355" s="35">
        <v>93711.645985232899</v>
      </c>
    </row>
    <row r="356" spans="1:14" x14ac:dyDescent="0.25">
      <c r="A356" t="s">
        <v>367</v>
      </c>
      <c r="B356" s="2">
        <v>45107</v>
      </c>
      <c r="C356" t="s">
        <v>615</v>
      </c>
      <c r="D356" t="s">
        <v>618</v>
      </c>
      <c r="E356" t="s">
        <v>621</v>
      </c>
      <c r="F356" t="s">
        <v>627</v>
      </c>
      <c r="G356" t="s">
        <v>632</v>
      </c>
      <c r="H356">
        <v>4</v>
      </c>
      <c r="I356" s="35">
        <v>249737</v>
      </c>
      <c r="J356" s="35">
        <v>998948</v>
      </c>
      <c r="K356" s="35">
        <v>717877.41398120963</v>
      </c>
      <c r="L356" s="35">
        <v>102370.75669693929</v>
      </c>
      <c r="M356" s="35">
        <v>896577.24330306076</v>
      </c>
      <c r="N356" s="35">
        <v>178699.82932185114</v>
      </c>
    </row>
    <row r="357" spans="1:14" x14ac:dyDescent="0.25">
      <c r="A357" t="s">
        <v>368</v>
      </c>
      <c r="B357" s="2">
        <v>45533</v>
      </c>
      <c r="C357" t="s">
        <v>615</v>
      </c>
      <c r="D357" t="s">
        <v>619</v>
      </c>
      <c r="E357" t="s">
        <v>621</v>
      </c>
      <c r="F357" t="s">
        <v>625</v>
      </c>
      <c r="G357" t="s">
        <v>633</v>
      </c>
      <c r="H357">
        <v>5</v>
      </c>
      <c r="I357" s="35">
        <v>153751</v>
      </c>
      <c r="J357" s="35">
        <v>768755</v>
      </c>
      <c r="K357" s="35">
        <v>458992.18667508528</v>
      </c>
      <c r="L357" s="35">
        <v>53633.254603671841</v>
      </c>
      <c r="M357" s="35">
        <v>715121.74539632816</v>
      </c>
      <c r="N357" s="35">
        <v>256129.55872124288</v>
      </c>
    </row>
    <row r="358" spans="1:14" x14ac:dyDescent="0.25">
      <c r="A358" t="s">
        <v>369</v>
      </c>
      <c r="B358" s="2">
        <v>45025</v>
      </c>
      <c r="C358" t="s">
        <v>615</v>
      </c>
      <c r="D358" t="s">
        <v>619</v>
      </c>
      <c r="E358" t="s">
        <v>623</v>
      </c>
      <c r="F358" t="s">
        <v>628</v>
      </c>
      <c r="G358" t="s">
        <v>633</v>
      </c>
      <c r="H358">
        <v>1</v>
      </c>
      <c r="I358" s="35">
        <v>416577</v>
      </c>
      <c r="J358" s="35">
        <v>416577</v>
      </c>
      <c r="K358" s="35">
        <v>291402.60861972457</v>
      </c>
      <c r="L358" s="35">
        <v>31228.688502189802</v>
      </c>
      <c r="M358" s="35">
        <v>385348.31149781018</v>
      </c>
      <c r="N358" s="35">
        <v>93945.702878085605</v>
      </c>
    </row>
    <row r="359" spans="1:14" x14ac:dyDescent="0.25">
      <c r="A359" t="s">
        <v>370</v>
      </c>
      <c r="B359" s="2">
        <v>45626</v>
      </c>
      <c r="C359" t="s">
        <v>617</v>
      </c>
      <c r="D359" t="s">
        <v>618</v>
      </c>
      <c r="E359" t="s">
        <v>623</v>
      </c>
      <c r="F359" t="s">
        <v>626</v>
      </c>
      <c r="G359" t="s">
        <v>632</v>
      </c>
      <c r="H359">
        <v>4</v>
      </c>
      <c r="I359" s="35">
        <v>121386</v>
      </c>
      <c r="J359" s="35">
        <v>485544</v>
      </c>
      <c r="K359" s="35">
        <v>323844.99494659482</v>
      </c>
      <c r="L359" s="35">
        <v>60336.67131501175</v>
      </c>
      <c r="M359" s="35">
        <v>425207.32868498832</v>
      </c>
      <c r="N359" s="35">
        <v>101362.3337383935</v>
      </c>
    </row>
    <row r="360" spans="1:14" x14ac:dyDescent="0.25">
      <c r="A360" t="s">
        <v>371</v>
      </c>
      <c r="B360" s="2">
        <v>45042</v>
      </c>
      <c r="C360" t="s">
        <v>617</v>
      </c>
      <c r="D360" t="s">
        <v>619</v>
      </c>
      <c r="E360" t="s">
        <v>624</v>
      </c>
      <c r="F360" t="s">
        <v>629</v>
      </c>
      <c r="G360" t="s">
        <v>632</v>
      </c>
      <c r="H360">
        <v>8</v>
      </c>
      <c r="I360" s="35">
        <v>136124</v>
      </c>
      <c r="J360" s="35">
        <v>1088992</v>
      </c>
      <c r="K360" s="35">
        <v>656465.37078307627</v>
      </c>
      <c r="L360" s="35">
        <v>156535.65511952649</v>
      </c>
      <c r="M360" s="35">
        <v>932456.34488047357</v>
      </c>
      <c r="N360" s="35">
        <v>275990.97409739729</v>
      </c>
    </row>
    <row r="361" spans="1:14" x14ac:dyDescent="0.25">
      <c r="A361" t="s">
        <v>372</v>
      </c>
      <c r="B361" s="2">
        <v>45117</v>
      </c>
      <c r="C361" t="s">
        <v>615</v>
      </c>
      <c r="D361" t="s">
        <v>619</v>
      </c>
      <c r="E361" t="s">
        <v>621</v>
      </c>
      <c r="F361" t="s">
        <v>628</v>
      </c>
      <c r="G361" t="s">
        <v>632</v>
      </c>
      <c r="H361">
        <v>7</v>
      </c>
      <c r="I361" s="35">
        <v>417894</v>
      </c>
      <c r="J361" s="35">
        <v>2925258</v>
      </c>
      <c r="K361" s="35">
        <v>1580730.090586928</v>
      </c>
      <c r="L361" s="35">
        <v>64708.812486500959</v>
      </c>
      <c r="M361" s="35">
        <v>2860549.1875134991</v>
      </c>
      <c r="N361" s="35">
        <v>1279819.0969265711</v>
      </c>
    </row>
    <row r="362" spans="1:14" x14ac:dyDescent="0.25">
      <c r="A362" t="s">
        <v>373</v>
      </c>
      <c r="B362" s="2">
        <v>45179</v>
      </c>
      <c r="C362" t="s">
        <v>616</v>
      </c>
      <c r="D362" t="s">
        <v>619</v>
      </c>
      <c r="E362" t="s">
        <v>620</v>
      </c>
      <c r="F362" t="s">
        <v>630</v>
      </c>
      <c r="G362" t="s">
        <v>633</v>
      </c>
      <c r="H362">
        <v>9</v>
      </c>
      <c r="I362" s="35">
        <v>389629</v>
      </c>
      <c r="J362" s="35">
        <v>3506661</v>
      </c>
      <c r="K362" s="35">
        <v>1852659.0198267</v>
      </c>
      <c r="L362" s="35">
        <v>24960.574870013861</v>
      </c>
      <c r="M362" s="35">
        <v>3481700.4251299859</v>
      </c>
      <c r="N362" s="35">
        <v>1629041.4053032859</v>
      </c>
    </row>
    <row r="363" spans="1:14" x14ac:dyDescent="0.25">
      <c r="A363" t="s">
        <v>374</v>
      </c>
      <c r="B363" s="2">
        <v>45087</v>
      </c>
      <c r="C363" t="s">
        <v>614</v>
      </c>
      <c r="D363" t="s">
        <v>618</v>
      </c>
      <c r="E363" t="s">
        <v>623</v>
      </c>
      <c r="F363" t="s">
        <v>625</v>
      </c>
      <c r="G363" t="s">
        <v>632</v>
      </c>
      <c r="H363">
        <v>5</v>
      </c>
      <c r="I363" s="35">
        <v>386199</v>
      </c>
      <c r="J363" s="35">
        <v>1930995</v>
      </c>
      <c r="K363" s="35">
        <v>1447194.823094412</v>
      </c>
      <c r="L363" s="35">
        <v>384009.3685669204</v>
      </c>
      <c r="M363" s="35">
        <v>1546985.631433079</v>
      </c>
      <c r="N363" s="35">
        <v>99790.808338667033</v>
      </c>
    </row>
    <row r="364" spans="1:14" x14ac:dyDescent="0.25">
      <c r="A364" t="s">
        <v>375</v>
      </c>
      <c r="B364" s="2">
        <v>45182</v>
      </c>
      <c r="C364" t="s">
        <v>614</v>
      </c>
      <c r="D364" t="s">
        <v>618</v>
      </c>
      <c r="E364" t="s">
        <v>623</v>
      </c>
      <c r="F364" t="s">
        <v>625</v>
      </c>
      <c r="G364" t="s">
        <v>633</v>
      </c>
      <c r="H364">
        <v>4</v>
      </c>
      <c r="I364" s="35">
        <v>141911</v>
      </c>
      <c r="J364" s="35">
        <v>567644</v>
      </c>
      <c r="K364" s="35">
        <v>440218.85631320323</v>
      </c>
      <c r="L364" s="35">
        <v>26421.370178363901</v>
      </c>
      <c r="M364" s="35">
        <v>541222.62982163613</v>
      </c>
      <c r="N364" s="35">
        <v>101003.7735084329</v>
      </c>
    </row>
    <row r="365" spans="1:14" x14ac:dyDescent="0.25">
      <c r="A365" t="s">
        <v>376</v>
      </c>
      <c r="B365" s="2">
        <v>45249</v>
      </c>
      <c r="C365" t="s">
        <v>613</v>
      </c>
      <c r="D365" t="s">
        <v>619</v>
      </c>
      <c r="E365" t="s">
        <v>622</v>
      </c>
      <c r="F365" t="s">
        <v>626</v>
      </c>
      <c r="G365" t="s">
        <v>632</v>
      </c>
      <c r="H365">
        <v>8</v>
      </c>
      <c r="I365" s="35">
        <v>410762</v>
      </c>
      <c r="J365" s="35">
        <v>3286096</v>
      </c>
      <c r="K365" s="35">
        <v>2283627.7703959942</v>
      </c>
      <c r="L365" s="35">
        <v>35378.454515917547</v>
      </c>
      <c r="M365" s="35">
        <v>3250717.5454840818</v>
      </c>
      <c r="N365" s="35">
        <v>967089.77508808766</v>
      </c>
    </row>
    <row r="366" spans="1:14" x14ac:dyDescent="0.25">
      <c r="A366" t="s">
        <v>377</v>
      </c>
      <c r="B366" s="2">
        <v>45054</v>
      </c>
      <c r="C366" t="s">
        <v>616</v>
      </c>
      <c r="D366" t="s">
        <v>618</v>
      </c>
      <c r="E366" t="s">
        <v>620</v>
      </c>
      <c r="F366" t="s">
        <v>630</v>
      </c>
      <c r="G366" t="s">
        <v>633</v>
      </c>
      <c r="H366">
        <v>9</v>
      </c>
      <c r="I366" s="35">
        <v>247742</v>
      </c>
      <c r="J366" s="35">
        <v>2229678</v>
      </c>
      <c r="K366" s="35">
        <v>1184026.4311061681</v>
      </c>
      <c r="L366" s="35">
        <v>84672.168805586538</v>
      </c>
      <c r="M366" s="35">
        <v>2145005.8311944129</v>
      </c>
      <c r="N366" s="35">
        <v>960979.40008824482</v>
      </c>
    </row>
    <row r="367" spans="1:14" x14ac:dyDescent="0.25">
      <c r="A367" t="s">
        <v>378</v>
      </c>
      <c r="B367" s="2">
        <v>44944</v>
      </c>
      <c r="C367" t="s">
        <v>617</v>
      </c>
      <c r="D367" t="s">
        <v>619</v>
      </c>
      <c r="E367" t="s">
        <v>620</v>
      </c>
      <c r="F367" t="s">
        <v>626</v>
      </c>
      <c r="G367" t="s">
        <v>633</v>
      </c>
      <c r="H367">
        <v>7</v>
      </c>
      <c r="I367" s="35">
        <v>497244</v>
      </c>
      <c r="J367" s="35">
        <v>3480708</v>
      </c>
      <c r="K367" s="35">
        <v>2160155.8050121898</v>
      </c>
      <c r="L367" s="35">
        <v>27120.177489574038</v>
      </c>
      <c r="M367" s="35">
        <v>3453587.8225104259</v>
      </c>
      <c r="N367" s="35">
        <v>1293432.0174982361</v>
      </c>
    </row>
    <row r="368" spans="1:14" x14ac:dyDescent="0.25">
      <c r="A368" t="s">
        <v>379</v>
      </c>
      <c r="B368" s="2">
        <v>45492</v>
      </c>
      <c r="C368" t="s">
        <v>615</v>
      </c>
      <c r="D368" t="s">
        <v>618</v>
      </c>
      <c r="E368" t="s">
        <v>623</v>
      </c>
      <c r="F368" t="s">
        <v>630</v>
      </c>
      <c r="G368" t="s">
        <v>631</v>
      </c>
      <c r="H368">
        <v>7</v>
      </c>
      <c r="I368" s="35">
        <v>271094</v>
      </c>
      <c r="J368" s="35">
        <v>1897658</v>
      </c>
      <c r="K368" s="35">
        <v>1363812.1913779459</v>
      </c>
      <c r="L368" s="35">
        <v>148704.61573148661</v>
      </c>
      <c r="M368" s="35">
        <v>1748953.3842685129</v>
      </c>
      <c r="N368" s="35">
        <v>385141.19289056701</v>
      </c>
    </row>
    <row r="369" spans="1:14" x14ac:dyDescent="0.25">
      <c r="A369" t="s">
        <v>380</v>
      </c>
      <c r="B369" s="2">
        <v>45496</v>
      </c>
      <c r="C369" t="s">
        <v>613</v>
      </c>
      <c r="D369" t="s">
        <v>619</v>
      </c>
      <c r="E369" t="s">
        <v>624</v>
      </c>
      <c r="F369" t="s">
        <v>629</v>
      </c>
      <c r="G369" t="s">
        <v>632</v>
      </c>
      <c r="H369">
        <v>5</v>
      </c>
      <c r="I369" s="35">
        <v>426036</v>
      </c>
      <c r="J369" s="35">
        <v>2130180</v>
      </c>
      <c r="K369" s="35">
        <v>1563437.65521017</v>
      </c>
      <c r="L369" s="35">
        <v>341852.04664050438</v>
      </c>
      <c r="M369" s="35">
        <v>1788327.9533594961</v>
      </c>
      <c r="N369" s="35">
        <v>224890.29814932612</v>
      </c>
    </row>
    <row r="370" spans="1:14" x14ac:dyDescent="0.25">
      <c r="A370" t="s">
        <v>381</v>
      </c>
      <c r="B370" s="2">
        <v>45249</v>
      </c>
      <c r="C370" t="s">
        <v>614</v>
      </c>
      <c r="D370" t="s">
        <v>619</v>
      </c>
      <c r="E370" t="s">
        <v>622</v>
      </c>
      <c r="F370" t="s">
        <v>625</v>
      </c>
      <c r="G370" t="s">
        <v>632</v>
      </c>
      <c r="H370">
        <v>4</v>
      </c>
      <c r="I370" s="35">
        <v>287723</v>
      </c>
      <c r="J370" s="35">
        <v>1150892</v>
      </c>
      <c r="K370" s="35">
        <v>616263.05999375065</v>
      </c>
      <c r="L370" s="35">
        <v>78547.101454112519</v>
      </c>
      <c r="M370" s="35">
        <v>1072344.898545888</v>
      </c>
      <c r="N370" s="35">
        <v>456081.83855213737</v>
      </c>
    </row>
    <row r="371" spans="1:14" x14ac:dyDescent="0.25">
      <c r="A371" t="s">
        <v>382</v>
      </c>
      <c r="B371" s="2">
        <v>45612</v>
      </c>
      <c r="C371" t="s">
        <v>617</v>
      </c>
      <c r="D371" t="s">
        <v>618</v>
      </c>
      <c r="E371" t="s">
        <v>620</v>
      </c>
      <c r="F371" t="s">
        <v>625</v>
      </c>
      <c r="G371" t="s">
        <v>633</v>
      </c>
      <c r="H371">
        <v>1</v>
      </c>
      <c r="I371" s="35">
        <v>383272</v>
      </c>
      <c r="J371" s="35">
        <v>383272</v>
      </c>
      <c r="K371" s="35">
        <v>191639.53210199231</v>
      </c>
      <c r="L371" s="35">
        <v>34048.61254421706</v>
      </c>
      <c r="M371" s="35">
        <v>349223.38745578303</v>
      </c>
      <c r="N371" s="35">
        <v>157583.85535379071</v>
      </c>
    </row>
    <row r="372" spans="1:14" x14ac:dyDescent="0.25">
      <c r="A372" t="s">
        <v>383</v>
      </c>
      <c r="B372" s="2">
        <v>45552</v>
      </c>
      <c r="C372" t="s">
        <v>617</v>
      </c>
      <c r="D372" t="s">
        <v>619</v>
      </c>
      <c r="E372" t="s">
        <v>623</v>
      </c>
      <c r="F372" t="s">
        <v>629</v>
      </c>
      <c r="G372" t="s">
        <v>633</v>
      </c>
      <c r="H372">
        <v>7</v>
      </c>
      <c r="I372" s="35">
        <v>461324</v>
      </c>
      <c r="J372" s="35">
        <v>3229268</v>
      </c>
      <c r="K372" s="35">
        <v>2304538.4121630308</v>
      </c>
      <c r="L372" s="35">
        <v>436330.14982091519</v>
      </c>
      <c r="M372" s="35">
        <v>2792937.850179085</v>
      </c>
      <c r="N372" s="35">
        <v>488399.43801605422</v>
      </c>
    </row>
    <row r="373" spans="1:14" x14ac:dyDescent="0.25">
      <c r="A373" t="s">
        <v>384</v>
      </c>
      <c r="B373" s="2">
        <v>45214</v>
      </c>
      <c r="C373" t="s">
        <v>615</v>
      </c>
      <c r="D373" t="s">
        <v>618</v>
      </c>
      <c r="E373" t="s">
        <v>620</v>
      </c>
      <c r="F373" t="s">
        <v>627</v>
      </c>
      <c r="G373" t="s">
        <v>633</v>
      </c>
      <c r="H373">
        <v>1</v>
      </c>
      <c r="I373" s="35">
        <v>364639</v>
      </c>
      <c r="J373" s="35">
        <v>364639</v>
      </c>
      <c r="K373" s="35">
        <v>221328.16190463019</v>
      </c>
      <c r="L373" s="35">
        <v>37112.524963242213</v>
      </c>
      <c r="M373" s="35">
        <v>327526.47503675782</v>
      </c>
      <c r="N373" s="35">
        <v>106198.31313212763</v>
      </c>
    </row>
    <row r="374" spans="1:14" x14ac:dyDescent="0.25">
      <c r="A374" t="s">
        <v>385</v>
      </c>
      <c r="B374" s="2">
        <v>45589</v>
      </c>
      <c r="C374" t="s">
        <v>614</v>
      </c>
      <c r="D374" t="s">
        <v>618</v>
      </c>
      <c r="E374" t="s">
        <v>622</v>
      </c>
      <c r="F374" t="s">
        <v>626</v>
      </c>
      <c r="G374" t="s">
        <v>631</v>
      </c>
      <c r="H374">
        <v>1</v>
      </c>
      <c r="I374" s="35">
        <v>132806</v>
      </c>
      <c r="J374" s="35">
        <v>132806</v>
      </c>
      <c r="K374" s="35">
        <v>76541.994318068406</v>
      </c>
      <c r="L374" s="35">
        <v>22881.031155549601</v>
      </c>
      <c r="M374" s="35">
        <v>109924.9688444504</v>
      </c>
      <c r="N374" s="35">
        <v>33382.974526381993</v>
      </c>
    </row>
    <row r="375" spans="1:14" x14ac:dyDescent="0.25">
      <c r="A375" t="s">
        <v>386</v>
      </c>
      <c r="B375" s="2">
        <v>45565</v>
      </c>
      <c r="C375" t="s">
        <v>616</v>
      </c>
      <c r="D375" t="s">
        <v>619</v>
      </c>
      <c r="E375" t="s">
        <v>622</v>
      </c>
      <c r="F375" t="s">
        <v>629</v>
      </c>
      <c r="G375" t="s">
        <v>631</v>
      </c>
      <c r="H375">
        <v>5</v>
      </c>
      <c r="I375" s="35">
        <v>405329</v>
      </c>
      <c r="J375" s="35">
        <v>2026645</v>
      </c>
      <c r="K375" s="35">
        <v>1021164.077798478</v>
      </c>
      <c r="L375" s="35">
        <v>351029.37413062138</v>
      </c>
      <c r="M375" s="35">
        <v>1675615.625869378</v>
      </c>
      <c r="N375" s="35">
        <v>654451.54807090003</v>
      </c>
    </row>
    <row r="376" spans="1:14" x14ac:dyDescent="0.25">
      <c r="A376" t="s">
        <v>387</v>
      </c>
      <c r="B376" s="2">
        <v>45081</v>
      </c>
      <c r="C376" t="s">
        <v>617</v>
      </c>
      <c r="D376" t="s">
        <v>619</v>
      </c>
      <c r="E376" t="s">
        <v>621</v>
      </c>
      <c r="F376" t="s">
        <v>626</v>
      </c>
      <c r="G376" t="s">
        <v>633</v>
      </c>
      <c r="H376">
        <v>9</v>
      </c>
      <c r="I376" s="35">
        <v>257605</v>
      </c>
      <c r="J376" s="35">
        <v>2318445</v>
      </c>
      <c r="K376" s="35">
        <v>1535018.83743275</v>
      </c>
      <c r="L376" s="35">
        <v>4595.4804815975413</v>
      </c>
      <c r="M376" s="35">
        <v>2313849.5195184019</v>
      </c>
      <c r="N376" s="35">
        <v>778830.6820856519</v>
      </c>
    </row>
    <row r="377" spans="1:14" x14ac:dyDescent="0.25">
      <c r="A377" t="s">
        <v>388</v>
      </c>
      <c r="B377" s="2">
        <v>45416</v>
      </c>
      <c r="C377" t="s">
        <v>615</v>
      </c>
      <c r="D377" t="s">
        <v>618</v>
      </c>
      <c r="E377" t="s">
        <v>623</v>
      </c>
      <c r="F377" t="s">
        <v>628</v>
      </c>
      <c r="G377" t="s">
        <v>632</v>
      </c>
      <c r="H377">
        <v>6</v>
      </c>
      <c r="I377" s="35">
        <v>280097</v>
      </c>
      <c r="J377" s="35">
        <v>1680582</v>
      </c>
      <c r="K377" s="35">
        <v>1269419.5815731001</v>
      </c>
      <c r="L377" s="35">
        <v>261514.12356842961</v>
      </c>
      <c r="M377" s="35">
        <v>1419067.8764315699</v>
      </c>
      <c r="N377" s="35">
        <v>149648.29485846986</v>
      </c>
    </row>
    <row r="378" spans="1:14" x14ac:dyDescent="0.25">
      <c r="A378" t="s">
        <v>389</v>
      </c>
      <c r="B378" s="2">
        <v>45312</v>
      </c>
      <c r="C378" t="s">
        <v>616</v>
      </c>
      <c r="D378" t="s">
        <v>619</v>
      </c>
      <c r="E378" t="s">
        <v>622</v>
      </c>
      <c r="F378" t="s">
        <v>625</v>
      </c>
      <c r="G378" t="s">
        <v>632</v>
      </c>
      <c r="H378">
        <v>3</v>
      </c>
      <c r="I378" s="35">
        <v>495725</v>
      </c>
      <c r="J378" s="35">
        <v>1487175</v>
      </c>
      <c r="K378" s="35">
        <v>1170837.253063631</v>
      </c>
      <c r="L378" s="35">
        <v>137038.2983878823</v>
      </c>
      <c r="M378" s="35">
        <v>1350136.7016121179</v>
      </c>
      <c r="N378" s="35">
        <v>179299.44854848692</v>
      </c>
    </row>
    <row r="379" spans="1:14" x14ac:dyDescent="0.25">
      <c r="A379" t="s">
        <v>390</v>
      </c>
      <c r="B379" s="2">
        <v>45030</v>
      </c>
      <c r="C379" t="s">
        <v>614</v>
      </c>
      <c r="D379" t="s">
        <v>619</v>
      </c>
      <c r="E379" t="s">
        <v>621</v>
      </c>
      <c r="F379" t="s">
        <v>626</v>
      </c>
      <c r="G379" t="s">
        <v>631</v>
      </c>
      <c r="H379">
        <v>3</v>
      </c>
      <c r="I379" s="35">
        <v>247478</v>
      </c>
      <c r="J379" s="35">
        <v>742434</v>
      </c>
      <c r="K379" s="35">
        <v>497225.48599908809</v>
      </c>
      <c r="L379" s="35">
        <v>146829.7676884488</v>
      </c>
      <c r="M379" s="35">
        <v>595604.23231155123</v>
      </c>
      <c r="N379" s="35">
        <v>98378.746312463132</v>
      </c>
    </row>
    <row r="380" spans="1:14" x14ac:dyDescent="0.25">
      <c r="A380" t="s">
        <v>391</v>
      </c>
      <c r="B380" s="2">
        <v>45319</v>
      </c>
      <c r="C380" t="s">
        <v>617</v>
      </c>
      <c r="D380" t="s">
        <v>619</v>
      </c>
      <c r="E380" t="s">
        <v>621</v>
      </c>
      <c r="F380" t="s">
        <v>630</v>
      </c>
      <c r="G380" t="s">
        <v>631</v>
      </c>
      <c r="H380">
        <v>7</v>
      </c>
      <c r="I380" s="35">
        <v>220591</v>
      </c>
      <c r="J380" s="35">
        <v>1544137</v>
      </c>
      <c r="K380" s="35">
        <v>1010388.131369689</v>
      </c>
      <c r="L380" s="35">
        <v>149235.30558921341</v>
      </c>
      <c r="M380" s="35">
        <v>1394901.694410786</v>
      </c>
      <c r="N380" s="35">
        <v>384513.56304109702</v>
      </c>
    </row>
    <row r="381" spans="1:14" x14ac:dyDescent="0.25">
      <c r="A381" t="s">
        <v>392</v>
      </c>
      <c r="B381" s="2">
        <v>45172</v>
      </c>
      <c r="C381" t="s">
        <v>616</v>
      </c>
      <c r="D381" t="s">
        <v>619</v>
      </c>
      <c r="E381" t="s">
        <v>620</v>
      </c>
      <c r="F381" t="s">
        <v>626</v>
      </c>
      <c r="G381" t="s">
        <v>633</v>
      </c>
      <c r="H381">
        <v>6</v>
      </c>
      <c r="I381" s="35">
        <v>361793</v>
      </c>
      <c r="J381" s="35">
        <v>2170758</v>
      </c>
      <c r="K381" s="35">
        <v>1140770.048775556</v>
      </c>
      <c r="L381" s="35">
        <v>428462.45372384199</v>
      </c>
      <c r="M381" s="35">
        <v>1742295.546276158</v>
      </c>
      <c r="N381" s="35">
        <v>601525.49750060192</v>
      </c>
    </row>
    <row r="382" spans="1:14" x14ac:dyDescent="0.25">
      <c r="A382" t="s">
        <v>393</v>
      </c>
      <c r="B382" s="2">
        <v>45102</v>
      </c>
      <c r="C382" t="s">
        <v>616</v>
      </c>
      <c r="D382" t="s">
        <v>619</v>
      </c>
      <c r="E382" t="s">
        <v>620</v>
      </c>
      <c r="F382" t="s">
        <v>628</v>
      </c>
      <c r="G382" t="s">
        <v>632</v>
      </c>
      <c r="H382">
        <v>9</v>
      </c>
      <c r="I382" s="35">
        <v>215596</v>
      </c>
      <c r="J382" s="35">
        <v>1940364</v>
      </c>
      <c r="K382" s="35">
        <v>1289685.907407722</v>
      </c>
      <c r="L382" s="35">
        <v>292827.8447973216</v>
      </c>
      <c r="M382" s="35">
        <v>1647536.1552026779</v>
      </c>
      <c r="N382" s="35">
        <v>357850.24779495597</v>
      </c>
    </row>
    <row r="383" spans="1:14" x14ac:dyDescent="0.25">
      <c r="A383" t="s">
        <v>394</v>
      </c>
      <c r="B383" s="2">
        <v>44965</v>
      </c>
      <c r="C383" t="s">
        <v>616</v>
      </c>
      <c r="D383" t="s">
        <v>618</v>
      </c>
      <c r="E383" t="s">
        <v>621</v>
      </c>
      <c r="F383" t="s">
        <v>625</v>
      </c>
      <c r="G383" t="s">
        <v>633</v>
      </c>
      <c r="H383">
        <v>6</v>
      </c>
      <c r="I383" s="35">
        <v>214957</v>
      </c>
      <c r="J383" s="35">
        <v>1289742</v>
      </c>
      <c r="K383" s="35">
        <v>791893.49317889591</v>
      </c>
      <c r="L383" s="35">
        <v>64127.232218186989</v>
      </c>
      <c r="M383" s="35">
        <v>1225614.7677818129</v>
      </c>
      <c r="N383" s="35">
        <v>433721.27460291702</v>
      </c>
    </row>
    <row r="384" spans="1:14" x14ac:dyDescent="0.25">
      <c r="A384" t="s">
        <v>395</v>
      </c>
      <c r="B384" s="2">
        <v>45403</v>
      </c>
      <c r="C384" t="s">
        <v>617</v>
      </c>
      <c r="D384" t="s">
        <v>618</v>
      </c>
      <c r="E384" t="s">
        <v>620</v>
      </c>
      <c r="F384" t="s">
        <v>629</v>
      </c>
      <c r="G384" t="s">
        <v>631</v>
      </c>
      <c r="H384">
        <v>5</v>
      </c>
      <c r="I384" s="35">
        <v>487585</v>
      </c>
      <c r="J384" s="35">
        <v>2437925</v>
      </c>
      <c r="K384" s="35">
        <v>1663007.5838944281</v>
      </c>
      <c r="L384" s="35">
        <v>262513.3159756313</v>
      </c>
      <c r="M384" s="35">
        <v>2175411.6840243689</v>
      </c>
      <c r="N384" s="35">
        <v>512404.10012994078</v>
      </c>
    </row>
    <row r="385" spans="1:14" x14ac:dyDescent="0.25">
      <c r="A385" t="s">
        <v>396</v>
      </c>
      <c r="B385" s="2">
        <v>45608</v>
      </c>
      <c r="C385" t="s">
        <v>617</v>
      </c>
      <c r="D385" t="s">
        <v>619</v>
      </c>
      <c r="E385" t="s">
        <v>622</v>
      </c>
      <c r="F385" t="s">
        <v>628</v>
      </c>
      <c r="G385" t="s">
        <v>632</v>
      </c>
      <c r="H385">
        <v>7</v>
      </c>
      <c r="I385" s="35">
        <v>282204</v>
      </c>
      <c r="J385" s="35">
        <v>1975428</v>
      </c>
      <c r="K385" s="35">
        <v>1218084.2735799211</v>
      </c>
      <c r="L385" s="35">
        <v>391978.50440477958</v>
      </c>
      <c r="M385" s="35">
        <v>1583449.49559522</v>
      </c>
      <c r="N385" s="35">
        <v>365365.2220152989</v>
      </c>
    </row>
    <row r="386" spans="1:14" x14ac:dyDescent="0.25">
      <c r="A386" t="s">
        <v>397</v>
      </c>
      <c r="B386" s="2">
        <v>45464</v>
      </c>
      <c r="C386" t="s">
        <v>613</v>
      </c>
      <c r="D386" t="s">
        <v>619</v>
      </c>
      <c r="E386" t="s">
        <v>624</v>
      </c>
      <c r="F386" t="s">
        <v>625</v>
      </c>
      <c r="G386" t="s">
        <v>632</v>
      </c>
      <c r="H386">
        <v>1</v>
      </c>
      <c r="I386" s="35">
        <v>407546</v>
      </c>
      <c r="J386" s="35">
        <v>407546</v>
      </c>
      <c r="K386" s="35">
        <v>233152.88396971091</v>
      </c>
      <c r="L386" s="35">
        <v>69896.633813373104</v>
      </c>
      <c r="M386" s="35">
        <v>337649.3661866269</v>
      </c>
      <c r="N386" s="35">
        <v>104496.48221691599</v>
      </c>
    </row>
    <row r="387" spans="1:14" x14ac:dyDescent="0.25">
      <c r="A387" t="s">
        <v>398</v>
      </c>
      <c r="B387" s="2">
        <v>45334</v>
      </c>
      <c r="C387" t="s">
        <v>614</v>
      </c>
      <c r="D387" t="s">
        <v>619</v>
      </c>
      <c r="E387" t="s">
        <v>622</v>
      </c>
      <c r="F387" t="s">
        <v>626</v>
      </c>
      <c r="G387" t="s">
        <v>631</v>
      </c>
      <c r="H387">
        <v>7</v>
      </c>
      <c r="I387" s="35">
        <v>342820</v>
      </c>
      <c r="J387" s="35">
        <v>2399740</v>
      </c>
      <c r="K387" s="35">
        <v>1268237.590872963</v>
      </c>
      <c r="L387" s="35">
        <v>46731.045941308977</v>
      </c>
      <c r="M387" s="35">
        <v>2353008.9540586909</v>
      </c>
      <c r="N387" s="35">
        <v>1084771.363185728</v>
      </c>
    </row>
    <row r="388" spans="1:14" x14ac:dyDescent="0.25">
      <c r="A388" t="s">
        <v>399</v>
      </c>
      <c r="B388" s="2">
        <v>45451</v>
      </c>
      <c r="C388" t="s">
        <v>615</v>
      </c>
      <c r="D388" t="s">
        <v>618</v>
      </c>
      <c r="E388" t="s">
        <v>621</v>
      </c>
      <c r="F388" t="s">
        <v>627</v>
      </c>
      <c r="G388" t="s">
        <v>633</v>
      </c>
      <c r="H388">
        <v>3</v>
      </c>
      <c r="I388" s="35">
        <v>376237</v>
      </c>
      <c r="J388" s="35">
        <v>1128711</v>
      </c>
      <c r="K388" s="35">
        <v>670991.07375311304</v>
      </c>
      <c r="L388" s="35">
        <v>159457.96857828149</v>
      </c>
      <c r="M388" s="35">
        <v>969253.03142171842</v>
      </c>
      <c r="N388" s="35">
        <v>298261.95766860538</v>
      </c>
    </row>
    <row r="389" spans="1:14" x14ac:dyDescent="0.25">
      <c r="A389" t="s">
        <v>400</v>
      </c>
      <c r="B389" s="2">
        <v>45432</v>
      </c>
      <c r="C389" t="s">
        <v>616</v>
      </c>
      <c r="D389" t="s">
        <v>619</v>
      </c>
      <c r="E389" t="s">
        <v>621</v>
      </c>
      <c r="F389" t="s">
        <v>627</v>
      </c>
      <c r="G389" t="s">
        <v>633</v>
      </c>
      <c r="H389">
        <v>9</v>
      </c>
      <c r="I389" s="35">
        <v>490980</v>
      </c>
      <c r="J389" s="35">
        <v>4418820</v>
      </c>
      <c r="K389" s="35">
        <v>2337526.8379942221</v>
      </c>
      <c r="L389" s="35">
        <v>305410.79712753318</v>
      </c>
      <c r="M389" s="35">
        <v>4113409.2028724672</v>
      </c>
      <c r="N389" s="35">
        <v>1775882.3648782452</v>
      </c>
    </row>
    <row r="390" spans="1:14" x14ac:dyDescent="0.25">
      <c r="A390" t="s">
        <v>401</v>
      </c>
      <c r="B390" s="2">
        <v>44962</v>
      </c>
      <c r="C390" t="s">
        <v>613</v>
      </c>
      <c r="D390" t="s">
        <v>618</v>
      </c>
      <c r="E390" t="s">
        <v>622</v>
      </c>
      <c r="F390" t="s">
        <v>630</v>
      </c>
      <c r="G390" t="s">
        <v>632</v>
      </c>
      <c r="H390">
        <v>6</v>
      </c>
      <c r="I390" s="35">
        <v>231871</v>
      </c>
      <c r="J390" s="35">
        <v>1391226</v>
      </c>
      <c r="K390" s="35">
        <v>769444.0911921144</v>
      </c>
      <c r="L390" s="35">
        <v>1942.780853349838</v>
      </c>
      <c r="M390" s="35">
        <v>1389283.2191466501</v>
      </c>
      <c r="N390" s="35">
        <v>619839.12795453565</v>
      </c>
    </row>
    <row r="391" spans="1:14" x14ac:dyDescent="0.25">
      <c r="A391" t="s">
        <v>402</v>
      </c>
      <c r="B391" s="2">
        <v>45611</v>
      </c>
      <c r="C391" t="s">
        <v>615</v>
      </c>
      <c r="D391" t="s">
        <v>618</v>
      </c>
      <c r="E391" t="s">
        <v>620</v>
      </c>
      <c r="F391" t="s">
        <v>625</v>
      </c>
      <c r="G391" t="s">
        <v>631</v>
      </c>
      <c r="H391">
        <v>9</v>
      </c>
      <c r="I391" s="35">
        <v>391558</v>
      </c>
      <c r="J391" s="35">
        <v>3524022</v>
      </c>
      <c r="K391" s="35">
        <v>2805829.303268943</v>
      </c>
      <c r="L391" s="35">
        <v>284375.16228649311</v>
      </c>
      <c r="M391" s="35">
        <v>3239646.837713507</v>
      </c>
      <c r="N391" s="35">
        <v>433817.53444456402</v>
      </c>
    </row>
    <row r="392" spans="1:14" x14ac:dyDescent="0.25">
      <c r="A392" t="s">
        <v>403</v>
      </c>
      <c r="B392" s="2">
        <v>44946</v>
      </c>
      <c r="C392" t="s">
        <v>613</v>
      </c>
      <c r="D392" t="s">
        <v>618</v>
      </c>
      <c r="E392" t="s">
        <v>620</v>
      </c>
      <c r="F392" t="s">
        <v>627</v>
      </c>
      <c r="G392" t="s">
        <v>632</v>
      </c>
      <c r="H392">
        <v>5</v>
      </c>
      <c r="I392" s="35">
        <v>405239</v>
      </c>
      <c r="J392" s="35">
        <v>2026195</v>
      </c>
      <c r="K392" s="35">
        <v>1283049.621945922</v>
      </c>
      <c r="L392" s="35">
        <v>95131.647105405646</v>
      </c>
      <c r="M392" s="35">
        <v>1931063.352894594</v>
      </c>
      <c r="N392" s="35">
        <v>648013.73094867193</v>
      </c>
    </row>
    <row r="393" spans="1:14" x14ac:dyDescent="0.25">
      <c r="A393" t="s">
        <v>404</v>
      </c>
      <c r="B393" s="2">
        <v>45247</v>
      </c>
      <c r="C393" t="s">
        <v>617</v>
      </c>
      <c r="D393" t="s">
        <v>619</v>
      </c>
      <c r="E393" t="s">
        <v>621</v>
      </c>
      <c r="F393" t="s">
        <v>629</v>
      </c>
      <c r="G393" t="s">
        <v>631</v>
      </c>
      <c r="H393">
        <v>7</v>
      </c>
      <c r="I393" s="35">
        <v>293154</v>
      </c>
      <c r="J393" s="35">
        <v>2052078</v>
      </c>
      <c r="K393" s="35">
        <v>1353471.7052598239</v>
      </c>
      <c r="L393" s="35">
        <v>336076.72298222157</v>
      </c>
      <c r="M393" s="35">
        <v>1716001.277017778</v>
      </c>
      <c r="N393" s="35">
        <v>362529.57175795408</v>
      </c>
    </row>
    <row r="394" spans="1:14" x14ac:dyDescent="0.25">
      <c r="A394" t="s">
        <v>405</v>
      </c>
      <c r="B394" s="2">
        <v>45438</v>
      </c>
      <c r="C394" t="s">
        <v>616</v>
      </c>
      <c r="D394" t="s">
        <v>618</v>
      </c>
      <c r="E394" t="s">
        <v>623</v>
      </c>
      <c r="F394" t="s">
        <v>625</v>
      </c>
      <c r="G394" t="s">
        <v>633</v>
      </c>
      <c r="H394">
        <v>4</v>
      </c>
      <c r="I394" s="35">
        <v>122307</v>
      </c>
      <c r="J394" s="35">
        <v>489228</v>
      </c>
      <c r="K394" s="35">
        <v>372833.59367311507</v>
      </c>
      <c r="L394" s="35">
        <v>33006.315820879237</v>
      </c>
      <c r="M394" s="35">
        <v>456221.68417912081</v>
      </c>
      <c r="N394" s="35">
        <v>83388.090506005741</v>
      </c>
    </row>
    <row r="395" spans="1:14" x14ac:dyDescent="0.25">
      <c r="A395" t="s">
        <v>406</v>
      </c>
      <c r="B395" s="2">
        <v>45326</v>
      </c>
      <c r="C395" t="s">
        <v>615</v>
      </c>
      <c r="D395" t="s">
        <v>619</v>
      </c>
      <c r="E395" t="s">
        <v>620</v>
      </c>
      <c r="F395" t="s">
        <v>629</v>
      </c>
      <c r="G395" t="s">
        <v>631</v>
      </c>
      <c r="H395">
        <v>7</v>
      </c>
      <c r="I395" s="35">
        <v>407576</v>
      </c>
      <c r="J395" s="35">
        <v>2853032</v>
      </c>
      <c r="K395" s="35">
        <v>2278632.979391424</v>
      </c>
      <c r="L395" s="35">
        <v>472190.31592168938</v>
      </c>
      <c r="M395" s="35">
        <v>2380841.6840783111</v>
      </c>
      <c r="N395" s="35">
        <v>102208.7046868871</v>
      </c>
    </row>
    <row r="396" spans="1:14" x14ac:dyDescent="0.25">
      <c r="A396" t="s">
        <v>407</v>
      </c>
      <c r="B396" s="2">
        <v>45580</v>
      </c>
      <c r="C396" t="s">
        <v>615</v>
      </c>
      <c r="D396" t="s">
        <v>618</v>
      </c>
      <c r="E396" t="s">
        <v>622</v>
      </c>
      <c r="F396" t="s">
        <v>629</v>
      </c>
      <c r="G396" t="s">
        <v>633</v>
      </c>
      <c r="H396">
        <v>1</v>
      </c>
      <c r="I396" s="35">
        <v>344067</v>
      </c>
      <c r="J396" s="35">
        <v>344067</v>
      </c>
      <c r="K396" s="35">
        <v>232181.34373280301</v>
      </c>
      <c r="L396" s="35">
        <v>41.146204214303488</v>
      </c>
      <c r="M396" s="35">
        <v>344025.85379578569</v>
      </c>
      <c r="N396" s="35">
        <v>111844.51006298268</v>
      </c>
    </row>
    <row r="397" spans="1:14" x14ac:dyDescent="0.25">
      <c r="A397" t="s">
        <v>408</v>
      </c>
      <c r="B397" s="2">
        <v>45397</v>
      </c>
      <c r="C397" t="s">
        <v>615</v>
      </c>
      <c r="D397" t="s">
        <v>619</v>
      </c>
      <c r="E397" t="s">
        <v>620</v>
      </c>
      <c r="F397" t="s">
        <v>627</v>
      </c>
      <c r="G397" t="s">
        <v>631</v>
      </c>
      <c r="H397">
        <v>7</v>
      </c>
      <c r="I397" s="35">
        <v>429593</v>
      </c>
      <c r="J397" s="35">
        <v>3007151</v>
      </c>
      <c r="K397" s="35">
        <v>2236544.939028041</v>
      </c>
      <c r="L397" s="35">
        <v>185131.73296403879</v>
      </c>
      <c r="M397" s="35">
        <v>2822019.2670359612</v>
      </c>
      <c r="N397" s="35">
        <v>585474.32800792018</v>
      </c>
    </row>
    <row r="398" spans="1:14" x14ac:dyDescent="0.25">
      <c r="A398" t="s">
        <v>409</v>
      </c>
      <c r="B398" s="2">
        <v>45069</v>
      </c>
      <c r="C398" t="s">
        <v>615</v>
      </c>
      <c r="D398" t="s">
        <v>618</v>
      </c>
      <c r="E398" t="s">
        <v>622</v>
      </c>
      <c r="F398" t="s">
        <v>625</v>
      </c>
      <c r="G398" t="s">
        <v>632</v>
      </c>
      <c r="H398">
        <v>8</v>
      </c>
      <c r="I398" s="35">
        <v>285998</v>
      </c>
      <c r="J398" s="35">
        <v>2287984</v>
      </c>
      <c r="K398" s="35">
        <v>1368402.749787777</v>
      </c>
      <c r="L398" s="35">
        <v>110356.4303385461</v>
      </c>
      <c r="M398" s="35">
        <v>2177627.5696614538</v>
      </c>
      <c r="N398" s="35">
        <v>809224.81987367687</v>
      </c>
    </row>
    <row r="399" spans="1:14" x14ac:dyDescent="0.25">
      <c r="A399" t="s">
        <v>410</v>
      </c>
      <c r="B399" s="2">
        <v>45018</v>
      </c>
      <c r="C399" t="s">
        <v>615</v>
      </c>
      <c r="D399" t="s">
        <v>619</v>
      </c>
      <c r="E399" t="s">
        <v>621</v>
      </c>
      <c r="F399" t="s">
        <v>626</v>
      </c>
      <c r="G399" t="s">
        <v>633</v>
      </c>
      <c r="H399">
        <v>5</v>
      </c>
      <c r="I399" s="35">
        <v>359718</v>
      </c>
      <c r="J399" s="35">
        <v>1798590</v>
      </c>
      <c r="K399" s="35">
        <v>1064267.407327537</v>
      </c>
      <c r="L399" s="35">
        <v>84018.383988878602</v>
      </c>
      <c r="M399" s="35">
        <v>1714571.6160111211</v>
      </c>
      <c r="N399" s="35">
        <v>650304.20868358412</v>
      </c>
    </row>
    <row r="400" spans="1:14" x14ac:dyDescent="0.25">
      <c r="A400" t="s">
        <v>411</v>
      </c>
      <c r="B400" s="2">
        <v>45280</v>
      </c>
      <c r="C400" t="s">
        <v>613</v>
      </c>
      <c r="D400" t="s">
        <v>618</v>
      </c>
      <c r="E400" t="s">
        <v>620</v>
      </c>
      <c r="F400" t="s">
        <v>628</v>
      </c>
      <c r="G400" t="s">
        <v>632</v>
      </c>
      <c r="H400">
        <v>2</v>
      </c>
      <c r="I400" s="35">
        <v>486607</v>
      </c>
      <c r="J400" s="35">
        <v>973214</v>
      </c>
      <c r="K400" s="35">
        <v>604182.06973719993</v>
      </c>
      <c r="L400" s="35">
        <v>13272.034593685001</v>
      </c>
      <c r="M400" s="35">
        <v>959941.96540631505</v>
      </c>
      <c r="N400" s="35">
        <v>355759.89566911513</v>
      </c>
    </row>
    <row r="401" spans="1:14" x14ac:dyDescent="0.25">
      <c r="A401" t="s">
        <v>412</v>
      </c>
      <c r="B401" s="2">
        <v>45653</v>
      </c>
      <c r="C401" t="s">
        <v>616</v>
      </c>
      <c r="D401" t="s">
        <v>619</v>
      </c>
      <c r="E401" t="s">
        <v>622</v>
      </c>
      <c r="F401" t="s">
        <v>627</v>
      </c>
      <c r="G401" t="s">
        <v>632</v>
      </c>
      <c r="H401">
        <v>5</v>
      </c>
      <c r="I401" s="35">
        <v>171757</v>
      </c>
      <c r="J401" s="35">
        <v>858785</v>
      </c>
      <c r="K401" s="35">
        <v>602654.24487255688</v>
      </c>
      <c r="L401" s="35">
        <v>32139.903312896549</v>
      </c>
      <c r="M401" s="35">
        <v>826645.09668710351</v>
      </c>
      <c r="N401" s="35">
        <v>223990.85181454662</v>
      </c>
    </row>
    <row r="402" spans="1:14" x14ac:dyDescent="0.25">
      <c r="A402" t="s">
        <v>413</v>
      </c>
      <c r="B402" s="2">
        <v>44977</v>
      </c>
      <c r="C402" t="s">
        <v>617</v>
      </c>
      <c r="D402" t="s">
        <v>619</v>
      </c>
      <c r="E402" t="s">
        <v>621</v>
      </c>
      <c r="F402" t="s">
        <v>627</v>
      </c>
      <c r="G402" t="s">
        <v>633</v>
      </c>
      <c r="H402">
        <v>6</v>
      </c>
      <c r="I402" s="35">
        <v>103664</v>
      </c>
      <c r="J402" s="35">
        <v>621984</v>
      </c>
      <c r="K402" s="35">
        <v>438285.69469489309</v>
      </c>
      <c r="L402" s="35">
        <v>69108.588735147481</v>
      </c>
      <c r="M402" s="35">
        <v>552875.4112648525</v>
      </c>
      <c r="N402" s="35">
        <v>114589.71656995942</v>
      </c>
    </row>
    <row r="403" spans="1:14" x14ac:dyDescent="0.25">
      <c r="A403" t="s">
        <v>414</v>
      </c>
      <c r="B403" s="2">
        <v>45591</v>
      </c>
      <c r="C403" t="s">
        <v>617</v>
      </c>
      <c r="D403" t="s">
        <v>619</v>
      </c>
      <c r="E403" t="s">
        <v>623</v>
      </c>
      <c r="F403" t="s">
        <v>626</v>
      </c>
      <c r="G403" t="s">
        <v>633</v>
      </c>
      <c r="H403">
        <v>2</v>
      </c>
      <c r="I403" s="35">
        <v>379528</v>
      </c>
      <c r="J403" s="35">
        <v>759056</v>
      </c>
      <c r="K403" s="35">
        <v>451313.31529218209</v>
      </c>
      <c r="L403" s="35">
        <v>44231.874100785397</v>
      </c>
      <c r="M403" s="35">
        <v>714824.12589921465</v>
      </c>
      <c r="N403" s="35">
        <v>263510.81060703256</v>
      </c>
    </row>
    <row r="404" spans="1:14" x14ac:dyDescent="0.25">
      <c r="A404" t="s">
        <v>415</v>
      </c>
      <c r="B404" s="2">
        <v>45624</v>
      </c>
      <c r="C404" t="s">
        <v>617</v>
      </c>
      <c r="D404" t="s">
        <v>619</v>
      </c>
      <c r="E404" t="s">
        <v>622</v>
      </c>
      <c r="F404" t="s">
        <v>625</v>
      </c>
      <c r="G404" t="s">
        <v>632</v>
      </c>
      <c r="H404">
        <v>6</v>
      </c>
      <c r="I404" s="35">
        <v>343171</v>
      </c>
      <c r="J404" s="35">
        <v>2059026</v>
      </c>
      <c r="K404" s="35">
        <v>1111797.809176604</v>
      </c>
      <c r="L404" s="35">
        <v>171885.34181601121</v>
      </c>
      <c r="M404" s="35">
        <v>1887140.6581839891</v>
      </c>
      <c r="N404" s="35">
        <v>775342.84900738508</v>
      </c>
    </row>
    <row r="405" spans="1:14" x14ac:dyDescent="0.25">
      <c r="A405" t="s">
        <v>416</v>
      </c>
      <c r="B405" s="2">
        <v>45501</v>
      </c>
      <c r="C405" t="s">
        <v>617</v>
      </c>
      <c r="D405" t="s">
        <v>618</v>
      </c>
      <c r="E405" t="s">
        <v>623</v>
      </c>
      <c r="F405" t="s">
        <v>625</v>
      </c>
      <c r="G405" t="s">
        <v>632</v>
      </c>
      <c r="H405">
        <v>6</v>
      </c>
      <c r="I405" s="35">
        <v>216536</v>
      </c>
      <c r="J405" s="35">
        <v>1299216</v>
      </c>
      <c r="K405" s="35">
        <v>896093.80042202771</v>
      </c>
      <c r="L405" s="35">
        <v>97926.296163430583</v>
      </c>
      <c r="M405" s="35">
        <v>1201289.7038365691</v>
      </c>
      <c r="N405" s="35">
        <v>305195.90341454139</v>
      </c>
    </row>
    <row r="406" spans="1:14" x14ac:dyDescent="0.25">
      <c r="A406" t="s">
        <v>417</v>
      </c>
      <c r="B406" s="2">
        <v>45116</v>
      </c>
      <c r="C406" t="s">
        <v>613</v>
      </c>
      <c r="D406" t="s">
        <v>618</v>
      </c>
      <c r="E406" t="s">
        <v>623</v>
      </c>
      <c r="F406" t="s">
        <v>629</v>
      </c>
      <c r="G406" t="s">
        <v>632</v>
      </c>
      <c r="H406">
        <v>1</v>
      </c>
      <c r="I406" s="35">
        <v>346629</v>
      </c>
      <c r="J406" s="35">
        <v>346629</v>
      </c>
      <c r="K406" s="35">
        <v>186658.93958538881</v>
      </c>
      <c r="L406" s="35">
        <v>60722.80964955769</v>
      </c>
      <c r="M406" s="35">
        <v>285906.19035044231</v>
      </c>
      <c r="N406" s="35">
        <v>99247.250765053497</v>
      </c>
    </row>
    <row r="407" spans="1:14" x14ac:dyDescent="0.25">
      <c r="A407" t="s">
        <v>418</v>
      </c>
      <c r="B407" s="2">
        <v>45051</v>
      </c>
      <c r="C407" t="s">
        <v>614</v>
      </c>
      <c r="D407" t="s">
        <v>619</v>
      </c>
      <c r="E407" t="s">
        <v>624</v>
      </c>
      <c r="F407" t="s">
        <v>626</v>
      </c>
      <c r="G407" t="s">
        <v>632</v>
      </c>
      <c r="H407">
        <v>1</v>
      </c>
      <c r="I407" s="35">
        <v>309438</v>
      </c>
      <c r="J407" s="35">
        <v>309438</v>
      </c>
      <c r="K407" s="35">
        <v>208421.26942844031</v>
      </c>
      <c r="L407" s="35">
        <v>56026.78233116318</v>
      </c>
      <c r="M407" s="35">
        <v>253411.21766883679</v>
      </c>
      <c r="N407" s="35">
        <v>44989.948240396479</v>
      </c>
    </row>
    <row r="408" spans="1:14" x14ac:dyDescent="0.25">
      <c r="A408" t="s">
        <v>419</v>
      </c>
      <c r="B408" s="2">
        <v>45076</v>
      </c>
      <c r="C408" t="s">
        <v>616</v>
      </c>
      <c r="D408" t="s">
        <v>618</v>
      </c>
      <c r="E408" t="s">
        <v>620</v>
      </c>
      <c r="F408" t="s">
        <v>626</v>
      </c>
      <c r="G408" t="s">
        <v>633</v>
      </c>
      <c r="H408">
        <v>3</v>
      </c>
      <c r="I408" s="35">
        <v>200528</v>
      </c>
      <c r="J408" s="35">
        <v>601584</v>
      </c>
      <c r="K408" s="35">
        <v>425937.49724538799</v>
      </c>
      <c r="L408" s="35">
        <v>59311.005367323793</v>
      </c>
      <c r="M408" s="35">
        <v>542272.99463267624</v>
      </c>
      <c r="N408" s="35">
        <v>116335.49738728825</v>
      </c>
    </row>
    <row r="409" spans="1:14" x14ac:dyDescent="0.25">
      <c r="A409" t="s">
        <v>420</v>
      </c>
      <c r="B409" s="2">
        <v>45240</v>
      </c>
      <c r="C409" t="s">
        <v>615</v>
      </c>
      <c r="D409" t="s">
        <v>619</v>
      </c>
      <c r="E409" t="s">
        <v>622</v>
      </c>
      <c r="F409" t="s">
        <v>625</v>
      </c>
      <c r="G409" t="s">
        <v>633</v>
      </c>
      <c r="H409">
        <v>3</v>
      </c>
      <c r="I409" s="35">
        <v>347698</v>
      </c>
      <c r="J409" s="35">
        <v>1043094</v>
      </c>
      <c r="K409" s="35">
        <v>740788.09446602222</v>
      </c>
      <c r="L409" s="35">
        <v>68876.738167701013</v>
      </c>
      <c r="M409" s="35">
        <v>974217.26183229894</v>
      </c>
      <c r="N409" s="35">
        <v>233429.16736627673</v>
      </c>
    </row>
    <row r="410" spans="1:14" x14ac:dyDescent="0.25">
      <c r="A410" t="s">
        <v>421</v>
      </c>
      <c r="B410" s="2">
        <v>45496</v>
      </c>
      <c r="C410" t="s">
        <v>614</v>
      </c>
      <c r="D410" t="s">
        <v>619</v>
      </c>
      <c r="E410" t="s">
        <v>623</v>
      </c>
      <c r="F410" t="s">
        <v>629</v>
      </c>
      <c r="G410" t="s">
        <v>632</v>
      </c>
      <c r="H410">
        <v>4</v>
      </c>
      <c r="I410" s="35">
        <v>359066</v>
      </c>
      <c r="J410" s="35">
        <v>1436264</v>
      </c>
      <c r="K410" s="35">
        <v>1042787.460263319</v>
      </c>
      <c r="L410" s="35">
        <v>30678.80126665016</v>
      </c>
      <c r="M410" s="35">
        <v>1405585.19873335</v>
      </c>
      <c r="N410" s="35">
        <v>362797.73847003106</v>
      </c>
    </row>
    <row r="411" spans="1:14" x14ac:dyDescent="0.25">
      <c r="A411" t="s">
        <v>422</v>
      </c>
      <c r="B411" s="2">
        <v>45268</v>
      </c>
      <c r="C411" t="s">
        <v>617</v>
      </c>
      <c r="D411" t="s">
        <v>618</v>
      </c>
      <c r="E411" t="s">
        <v>624</v>
      </c>
      <c r="F411" t="s">
        <v>627</v>
      </c>
      <c r="G411" t="s">
        <v>631</v>
      </c>
      <c r="H411">
        <v>2</v>
      </c>
      <c r="I411" s="35">
        <v>325553</v>
      </c>
      <c r="J411" s="35">
        <v>651106</v>
      </c>
      <c r="K411" s="35">
        <v>496050.20196138008</v>
      </c>
      <c r="L411" s="35">
        <v>124153.2670365917</v>
      </c>
      <c r="M411" s="35">
        <v>526952.73296340834</v>
      </c>
      <c r="N411" s="35">
        <v>30902.531002028263</v>
      </c>
    </row>
    <row r="412" spans="1:14" x14ac:dyDescent="0.25">
      <c r="A412" t="s">
        <v>423</v>
      </c>
      <c r="B412" s="2">
        <v>45231</v>
      </c>
      <c r="C412" t="s">
        <v>614</v>
      </c>
      <c r="D412" t="s">
        <v>619</v>
      </c>
      <c r="E412" t="s">
        <v>621</v>
      </c>
      <c r="F412" t="s">
        <v>630</v>
      </c>
      <c r="G412" t="s">
        <v>631</v>
      </c>
      <c r="H412">
        <v>9</v>
      </c>
      <c r="I412" s="35">
        <v>250399</v>
      </c>
      <c r="J412" s="35">
        <v>2253591</v>
      </c>
      <c r="K412" s="35">
        <v>1464806.425398276</v>
      </c>
      <c r="L412" s="35">
        <v>27145.38019696125</v>
      </c>
      <c r="M412" s="35">
        <v>2226445.6198030389</v>
      </c>
      <c r="N412" s="35">
        <v>761639.19440476294</v>
      </c>
    </row>
    <row r="413" spans="1:14" x14ac:dyDescent="0.25">
      <c r="A413" t="s">
        <v>424</v>
      </c>
      <c r="B413" s="2">
        <v>45618</v>
      </c>
      <c r="C413" t="s">
        <v>616</v>
      </c>
      <c r="D413" t="s">
        <v>619</v>
      </c>
      <c r="E413" t="s">
        <v>622</v>
      </c>
      <c r="F413" t="s">
        <v>628</v>
      </c>
      <c r="G413" t="s">
        <v>633</v>
      </c>
      <c r="H413">
        <v>7</v>
      </c>
      <c r="I413" s="35">
        <v>272472</v>
      </c>
      <c r="J413" s="35">
        <v>1907304</v>
      </c>
      <c r="K413" s="35">
        <v>1371494.1600559531</v>
      </c>
      <c r="L413" s="35">
        <v>113541.9130014183</v>
      </c>
      <c r="M413" s="35">
        <v>1793762.0869985819</v>
      </c>
      <c r="N413" s="35">
        <v>422267.92694262881</v>
      </c>
    </row>
    <row r="414" spans="1:14" x14ac:dyDescent="0.25">
      <c r="A414" t="s">
        <v>425</v>
      </c>
      <c r="B414" s="2">
        <v>45608</v>
      </c>
      <c r="C414" t="s">
        <v>615</v>
      </c>
      <c r="D414" t="s">
        <v>618</v>
      </c>
      <c r="E414" t="s">
        <v>623</v>
      </c>
      <c r="F414" t="s">
        <v>627</v>
      </c>
      <c r="G414" t="s">
        <v>632</v>
      </c>
      <c r="H414">
        <v>7</v>
      </c>
      <c r="I414" s="35">
        <v>348783</v>
      </c>
      <c r="J414" s="35">
        <v>2441481</v>
      </c>
      <c r="K414" s="35">
        <v>1674250.040734116</v>
      </c>
      <c r="L414" s="35">
        <v>145544.59337974861</v>
      </c>
      <c r="M414" s="35">
        <v>2295936.406620251</v>
      </c>
      <c r="N414" s="35">
        <v>621686.36588613503</v>
      </c>
    </row>
    <row r="415" spans="1:14" x14ac:dyDescent="0.25">
      <c r="A415" t="s">
        <v>426</v>
      </c>
      <c r="B415" s="2">
        <v>44980</v>
      </c>
      <c r="C415" t="s">
        <v>615</v>
      </c>
      <c r="D415" t="s">
        <v>619</v>
      </c>
      <c r="E415" t="s">
        <v>620</v>
      </c>
      <c r="F415" t="s">
        <v>625</v>
      </c>
      <c r="G415" t="s">
        <v>632</v>
      </c>
      <c r="H415">
        <v>6</v>
      </c>
      <c r="I415" s="35">
        <v>281182</v>
      </c>
      <c r="J415" s="35">
        <v>1687092</v>
      </c>
      <c r="K415" s="35">
        <v>938009.62479394558</v>
      </c>
      <c r="L415" s="35">
        <v>108109.2893273735</v>
      </c>
      <c r="M415" s="35">
        <v>1578982.710672627</v>
      </c>
      <c r="N415" s="35">
        <v>640973.08587868139</v>
      </c>
    </row>
    <row r="416" spans="1:14" x14ac:dyDescent="0.25">
      <c r="A416" t="s">
        <v>427</v>
      </c>
      <c r="B416" s="2">
        <v>45370</v>
      </c>
      <c r="C416" t="s">
        <v>616</v>
      </c>
      <c r="D416" t="s">
        <v>619</v>
      </c>
      <c r="E416" t="s">
        <v>624</v>
      </c>
      <c r="F416" t="s">
        <v>628</v>
      </c>
      <c r="G416" t="s">
        <v>633</v>
      </c>
      <c r="H416">
        <v>3</v>
      </c>
      <c r="I416" s="35">
        <v>331836</v>
      </c>
      <c r="J416" s="35">
        <v>995508</v>
      </c>
      <c r="K416" s="35">
        <v>505426.27409539639</v>
      </c>
      <c r="L416" s="35">
        <v>32709.773354485918</v>
      </c>
      <c r="M416" s="35">
        <v>962798.22664551414</v>
      </c>
      <c r="N416" s="35">
        <v>457371.95255011774</v>
      </c>
    </row>
    <row r="417" spans="1:14" x14ac:dyDescent="0.25">
      <c r="A417" t="s">
        <v>428</v>
      </c>
      <c r="B417" s="2">
        <v>45539</v>
      </c>
      <c r="C417" t="s">
        <v>616</v>
      </c>
      <c r="D417" t="s">
        <v>619</v>
      </c>
      <c r="E417" t="s">
        <v>623</v>
      </c>
      <c r="F417" t="s">
        <v>630</v>
      </c>
      <c r="G417" t="s">
        <v>631</v>
      </c>
      <c r="H417">
        <v>6</v>
      </c>
      <c r="I417" s="35">
        <v>139037</v>
      </c>
      <c r="J417" s="35">
        <v>834222</v>
      </c>
      <c r="K417" s="35">
        <v>488322.2051526549</v>
      </c>
      <c r="L417" s="35">
        <v>130666.0990456057</v>
      </c>
      <c r="M417" s="35">
        <v>703555.90095439425</v>
      </c>
      <c r="N417" s="35">
        <v>215233.69580173935</v>
      </c>
    </row>
    <row r="418" spans="1:14" x14ac:dyDescent="0.25">
      <c r="A418" t="s">
        <v>429</v>
      </c>
      <c r="B418" s="2">
        <v>45190</v>
      </c>
      <c r="C418" t="s">
        <v>617</v>
      </c>
      <c r="D418" t="s">
        <v>619</v>
      </c>
      <c r="E418" t="s">
        <v>620</v>
      </c>
      <c r="F418" t="s">
        <v>630</v>
      </c>
      <c r="G418" t="s">
        <v>631</v>
      </c>
      <c r="H418">
        <v>8</v>
      </c>
      <c r="I418" s="35">
        <v>259912</v>
      </c>
      <c r="J418" s="35">
        <v>2079296</v>
      </c>
      <c r="K418" s="35">
        <v>1316007.4640358959</v>
      </c>
      <c r="L418" s="35">
        <v>50941.862878886714</v>
      </c>
      <c r="M418" s="35">
        <v>2028354.137121113</v>
      </c>
      <c r="N418" s="35">
        <v>712346.67308521713</v>
      </c>
    </row>
    <row r="419" spans="1:14" x14ac:dyDescent="0.25">
      <c r="A419" t="s">
        <v>430</v>
      </c>
      <c r="B419" s="2">
        <v>44979</v>
      </c>
      <c r="C419" t="s">
        <v>615</v>
      </c>
      <c r="D419" t="s">
        <v>618</v>
      </c>
      <c r="E419" t="s">
        <v>623</v>
      </c>
      <c r="F419" t="s">
        <v>629</v>
      </c>
      <c r="G419" t="s">
        <v>631</v>
      </c>
      <c r="H419">
        <v>8</v>
      </c>
      <c r="I419" s="35">
        <v>235272</v>
      </c>
      <c r="J419" s="35">
        <v>1882176</v>
      </c>
      <c r="K419" s="35">
        <v>1289538.5994182851</v>
      </c>
      <c r="L419" s="35">
        <v>239001.21521965269</v>
      </c>
      <c r="M419" s="35">
        <v>1643174.784780347</v>
      </c>
      <c r="N419" s="35">
        <v>353636.18536206195</v>
      </c>
    </row>
    <row r="420" spans="1:14" x14ac:dyDescent="0.25">
      <c r="A420" t="s">
        <v>431</v>
      </c>
      <c r="B420" s="2">
        <v>45498</v>
      </c>
      <c r="C420" t="s">
        <v>614</v>
      </c>
      <c r="D420" t="s">
        <v>618</v>
      </c>
      <c r="E420" t="s">
        <v>622</v>
      </c>
      <c r="F420" t="s">
        <v>628</v>
      </c>
      <c r="G420" t="s">
        <v>633</v>
      </c>
      <c r="H420">
        <v>9</v>
      </c>
      <c r="I420" s="35">
        <v>274135</v>
      </c>
      <c r="J420" s="35">
        <v>2467215</v>
      </c>
      <c r="K420" s="35">
        <v>1862717.2228822401</v>
      </c>
      <c r="L420" s="35">
        <v>61110.954955798683</v>
      </c>
      <c r="M420" s="35">
        <v>2406104.045044201</v>
      </c>
      <c r="N420" s="35">
        <v>543386.82216196088</v>
      </c>
    </row>
    <row r="421" spans="1:14" x14ac:dyDescent="0.25">
      <c r="A421" t="s">
        <v>432</v>
      </c>
      <c r="B421" s="2">
        <v>45546</v>
      </c>
      <c r="C421" t="s">
        <v>613</v>
      </c>
      <c r="D421" t="s">
        <v>618</v>
      </c>
      <c r="E421" t="s">
        <v>622</v>
      </c>
      <c r="F421" t="s">
        <v>629</v>
      </c>
      <c r="G421" t="s">
        <v>631</v>
      </c>
      <c r="H421">
        <v>1</v>
      </c>
      <c r="I421" s="35">
        <v>238487</v>
      </c>
      <c r="J421" s="35">
        <v>238487</v>
      </c>
      <c r="K421" s="35">
        <v>133284.11567203101</v>
      </c>
      <c r="L421" s="35">
        <v>3364.366520526286</v>
      </c>
      <c r="M421" s="35">
        <v>235122.6334794737</v>
      </c>
      <c r="N421" s="35">
        <v>101838.51780744269</v>
      </c>
    </row>
    <row r="422" spans="1:14" x14ac:dyDescent="0.25">
      <c r="A422" t="s">
        <v>433</v>
      </c>
      <c r="B422" s="2">
        <v>44931</v>
      </c>
      <c r="C422" t="s">
        <v>613</v>
      </c>
      <c r="D422" t="s">
        <v>619</v>
      </c>
      <c r="E422" t="s">
        <v>622</v>
      </c>
      <c r="F422" t="s">
        <v>627</v>
      </c>
      <c r="G422" t="s">
        <v>633</v>
      </c>
      <c r="H422">
        <v>1</v>
      </c>
      <c r="I422" s="35">
        <v>68074</v>
      </c>
      <c r="J422" s="35">
        <v>68074</v>
      </c>
      <c r="K422" s="35">
        <v>36601.002919264683</v>
      </c>
      <c r="L422" s="35">
        <v>12381.70080678247</v>
      </c>
      <c r="M422" s="35">
        <v>55692.299193217528</v>
      </c>
      <c r="N422" s="35">
        <v>19091.296273952845</v>
      </c>
    </row>
    <row r="423" spans="1:14" x14ac:dyDescent="0.25">
      <c r="A423" t="s">
        <v>434</v>
      </c>
      <c r="B423" s="2">
        <v>45029</v>
      </c>
      <c r="C423" t="s">
        <v>616</v>
      </c>
      <c r="D423" t="s">
        <v>619</v>
      </c>
      <c r="E423" t="s">
        <v>624</v>
      </c>
      <c r="F423" t="s">
        <v>626</v>
      </c>
      <c r="G423" t="s">
        <v>633</v>
      </c>
      <c r="H423">
        <v>3</v>
      </c>
      <c r="I423" s="35">
        <v>196621</v>
      </c>
      <c r="J423" s="35">
        <v>589863</v>
      </c>
      <c r="K423" s="35">
        <v>465427.85167711478</v>
      </c>
      <c r="L423" s="35">
        <v>22429.984897410141</v>
      </c>
      <c r="M423" s="35">
        <v>567433.01510258985</v>
      </c>
      <c r="N423" s="35">
        <v>102005.16342547507</v>
      </c>
    </row>
    <row r="424" spans="1:14" x14ac:dyDescent="0.25">
      <c r="A424" t="s">
        <v>435</v>
      </c>
      <c r="B424" s="2">
        <v>45122</v>
      </c>
      <c r="C424" t="s">
        <v>617</v>
      </c>
      <c r="D424" t="s">
        <v>618</v>
      </c>
      <c r="E424" t="s">
        <v>622</v>
      </c>
      <c r="F424" t="s">
        <v>626</v>
      </c>
      <c r="G424" t="s">
        <v>632</v>
      </c>
      <c r="H424">
        <v>3</v>
      </c>
      <c r="I424" s="35">
        <v>342107</v>
      </c>
      <c r="J424" s="35">
        <v>1026321</v>
      </c>
      <c r="K424" s="35">
        <v>546427.02006712602</v>
      </c>
      <c r="L424" s="35">
        <v>168573.25597557411</v>
      </c>
      <c r="M424" s="35">
        <v>857747.74402442598</v>
      </c>
      <c r="N424" s="35">
        <v>311320.72395729995</v>
      </c>
    </row>
    <row r="425" spans="1:14" x14ac:dyDescent="0.25">
      <c r="A425" t="s">
        <v>436</v>
      </c>
      <c r="B425" s="2">
        <v>45276</v>
      </c>
      <c r="C425" t="s">
        <v>613</v>
      </c>
      <c r="D425" t="s">
        <v>619</v>
      </c>
      <c r="E425" t="s">
        <v>620</v>
      </c>
      <c r="F425" t="s">
        <v>626</v>
      </c>
      <c r="G425" t="s">
        <v>631</v>
      </c>
      <c r="H425">
        <v>8</v>
      </c>
      <c r="I425" s="35">
        <v>277434</v>
      </c>
      <c r="J425" s="35">
        <v>2219472</v>
      </c>
      <c r="K425" s="35">
        <v>1428335.259705883</v>
      </c>
      <c r="L425" s="35">
        <v>241758.59375157941</v>
      </c>
      <c r="M425" s="35">
        <v>1977713.40624842</v>
      </c>
      <c r="N425" s="35">
        <v>549378.14654253703</v>
      </c>
    </row>
    <row r="426" spans="1:14" x14ac:dyDescent="0.25">
      <c r="A426" t="s">
        <v>437</v>
      </c>
      <c r="B426" s="2">
        <v>44973</v>
      </c>
      <c r="C426" t="s">
        <v>615</v>
      </c>
      <c r="D426" t="s">
        <v>619</v>
      </c>
      <c r="E426" t="s">
        <v>623</v>
      </c>
      <c r="F426" t="s">
        <v>628</v>
      </c>
      <c r="G426" t="s">
        <v>633</v>
      </c>
      <c r="H426">
        <v>1</v>
      </c>
      <c r="I426" s="35">
        <v>282679</v>
      </c>
      <c r="J426" s="35">
        <v>282679</v>
      </c>
      <c r="K426" s="35">
        <v>190997.47078746851</v>
      </c>
      <c r="L426" s="35">
        <v>4401.680621297477</v>
      </c>
      <c r="M426" s="35">
        <v>278277.31937870261</v>
      </c>
      <c r="N426" s="35">
        <v>87279.848591234098</v>
      </c>
    </row>
    <row r="427" spans="1:14" x14ac:dyDescent="0.25">
      <c r="A427" t="s">
        <v>438</v>
      </c>
      <c r="B427" s="2">
        <v>45582</v>
      </c>
      <c r="C427" t="s">
        <v>616</v>
      </c>
      <c r="D427" t="s">
        <v>619</v>
      </c>
      <c r="E427" t="s">
        <v>621</v>
      </c>
      <c r="F427" t="s">
        <v>626</v>
      </c>
      <c r="G427" t="s">
        <v>631</v>
      </c>
      <c r="H427">
        <v>2</v>
      </c>
      <c r="I427" s="35">
        <v>102265</v>
      </c>
      <c r="J427" s="35">
        <v>204530</v>
      </c>
      <c r="K427" s="35">
        <v>135483.19309245949</v>
      </c>
      <c r="L427" s="35">
        <v>39083.56371896559</v>
      </c>
      <c r="M427" s="35">
        <v>165446.4362810344</v>
      </c>
      <c r="N427" s="35">
        <v>29963.24318857491</v>
      </c>
    </row>
    <row r="428" spans="1:14" x14ac:dyDescent="0.25">
      <c r="A428" t="s">
        <v>439</v>
      </c>
      <c r="B428" s="2">
        <v>45195</v>
      </c>
      <c r="C428" t="s">
        <v>614</v>
      </c>
      <c r="D428" t="s">
        <v>619</v>
      </c>
      <c r="E428" t="s">
        <v>620</v>
      </c>
      <c r="F428" t="s">
        <v>627</v>
      </c>
      <c r="G428" t="s">
        <v>631</v>
      </c>
      <c r="H428">
        <v>2</v>
      </c>
      <c r="I428" s="35">
        <v>66061</v>
      </c>
      <c r="J428" s="35">
        <v>132122</v>
      </c>
      <c r="K428" s="35">
        <v>69471.022195451966</v>
      </c>
      <c r="L428" s="35">
        <v>6525.8006610605644</v>
      </c>
      <c r="M428" s="35">
        <v>125596.1993389394</v>
      </c>
      <c r="N428" s="35">
        <v>56125.177143487439</v>
      </c>
    </row>
    <row r="429" spans="1:14" x14ac:dyDescent="0.25">
      <c r="A429" t="s">
        <v>440</v>
      </c>
      <c r="B429" s="2">
        <v>45296</v>
      </c>
      <c r="C429" t="s">
        <v>616</v>
      </c>
      <c r="D429" t="s">
        <v>618</v>
      </c>
      <c r="E429" t="s">
        <v>620</v>
      </c>
      <c r="F429" t="s">
        <v>629</v>
      </c>
      <c r="G429" t="s">
        <v>632</v>
      </c>
      <c r="H429">
        <v>3</v>
      </c>
      <c r="I429" s="35">
        <v>209882</v>
      </c>
      <c r="J429" s="35">
        <v>629646</v>
      </c>
      <c r="K429" s="35">
        <v>325595.0304884169</v>
      </c>
      <c r="L429" s="35">
        <v>108254.45062397741</v>
      </c>
      <c r="M429" s="35">
        <v>521391.54937602248</v>
      </c>
      <c r="N429" s="35">
        <v>195796.51888760558</v>
      </c>
    </row>
    <row r="430" spans="1:14" x14ac:dyDescent="0.25">
      <c r="A430" t="s">
        <v>441</v>
      </c>
      <c r="B430" s="2">
        <v>45562</v>
      </c>
      <c r="C430" t="s">
        <v>614</v>
      </c>
      <c r="D430" t="s">
        <v>618</v>
      </c>
      <c r="E430" t="s">
        <v>622</v>
      </c>
      <c r="F430" t="s">
        <v>628</v>
      </c>
      <c r="G430" t="s">
        <v>631</v>
      </c>
      <c r="H430">
        <v>6</v>
      </c>
      <c r="I430" s="35">
        <v>163502</v>
      </c>
      <c r="J430" s="35">
        <v>981012</v>
      </c>
      <c r="K430" s="35">
        <v>521550.1524421217</v>
      </c>
      <c r="L430" s="35">
        <v>33120.928278945379</v>
      </c>
      <c r="M430" s="35">
        <v>947891.07172105461</v>
      </c>
      <c r="N430" s="35">
        <v>426340.91927893291</v>
      </c>
    </row>
    <row r="431" spans="1:14" x14ac:dyDescent="0.25">
      <c r="A431" t="s">
        <v>442</v>
      </c>
      <c r="B431" s="2">
        <v>45032</v>
      </c>
      <c r="C431" t="s">
        <v>616</v>
      </c>
      <c r="D431" t="s">
        <v>618</v>
      </c>
      <c r="E431" t="s">
        <v>624</v>
      </c>
      <c r="F431" t="s">
        <v>629</v>
      </c>
      <c r="G431" t="s">
        <v>632</v>
      </c>
      <c r="H431">
        <v>1</v>
      </c>
      <c r="I431" s="35">
        <v>334944</v>
      </c>
      <c r="J431" s="35">
        <v>334944</v>
      </c>
      <c r="K431" s="35">
        <v>226313.72435610849</v>
      </c>
      <c r="L431" s="35">
        <v>57204.608943224157</v>
      </c>
      <c r="M431" s="35">
        <v>277739.39105677581</v>
      </c>
      <c r="N431" s="35">
        <v>51425.666700667323</v>
      </c>
    </row>
    <row r="432" spans="1:14" x14ac:dyDescent="0.25">
      <c r="A432" t="s">
        <v>443</v>
      </c>
      <c r="B432" s="2">
        <v>45596</v>
      </c>
      <c r="C432" t="s">
        <v>616</v>
      </c>
      <c r="D432" t="s">
        <v>619</v>
      </c>
      <c r="E432" t="s">
        <v>623</v>
      </c>
      <c r="F432" t="s">
        <v>628</v>
      </c>
      <c r="G432" t="s">
        <v>633</v>
      </c>
      <c r="H432">
        <v>2</v>
      </c>
      <c r="I432" s="35">
        <v>428336</v>
      </c>
      <c r="J432" s="35">
        <v>856672</v>
      </c>
      <c r="K432" s="35">
        <v>568233.50707384071</v>
      </c>
      <c r="L432" s="35">
        <v>2266.550721840802</v>
      </c>
      <c r="M432" s="35">
        <v>854405.44927815918</v>
      </c>
      <c r="N432" s="35">
        <v>286171.94220431847</v>
      </c>
    </row>
    <row r="433" spans="1:14" x14ac:dyDescent="0.25">
      <c r="A433" t="s">
        <v>444</v>
      </c>
      <c r="B433" s="2">
        <v>45585</v>
      </c>
      <c r="C433" t="s">
        <v>616</v>
      </c>
      <c r="D433" t="s">
        <v>618</v>
      </c>
      <c r="E433" t="s">
        <v>624</v>
      </c>
      <c r="F433" t="s">
        <v>629</v>
      </c>
      <c r="G433" t="s">
        <v>631</v>
      </c>
      <c r="H433">
        <v>1</v>
      </c>
      <c r="I433" s="35">
        <v>306505</v>
      </c>
      <c r="J433" s="35">
        <v>306505</v>
      </c>
      <c r="K433" s="35">
        <v>174745.31643896669</v>
      </c>
      <c r="L433" s="35">
        <v>31372.653768165739</v>
      </c>
      <c r="M433" s="35">
        <v>275132.34623183432</v>
      </c>
      <c r="N433" s="35">
        <v>100387.02979286763</v>
      </c>
    </row>
    <row r="434" spans="1:14" x14ac:dyDescent="0.25">
      <c r="A434" t="s">
        <v>445</v>
      </c>
      <c r="B434" s="2">
        <v>45583</v>
      </c>
      <c r="C434" t="s">
        <v>614</v>
      </c>
      <c r="D434" t="s">
        <v>618</v>
      </c>
      <c r="E434" t="s">
        <v>623</v>
      </c>
      <c r="F434" t="s">
        <v>630</v>
      </c>
      <c r="G434" t="s">
        <v>633</v>
      </c>
      <c r="H434">
        <v>5</v>
      </c>
      <c r="I434" s="35">
        <v>157228</v>
      </c>
      <c r="J434" s="35">
        <v>786140</v>
      </c>
      <c r="K434" s="35">
        <v>543483.92916114803</v>
      </c>
      <c r="L434" s="35">
        <v>120977.9178772926</v>
      </c>
      <c r="M434" s="35">
        <v>665162.08212270751</v>
      </c>
      <c r="N434" s="35">
        <v>121678.15296155948</v>
      </c>
    </row>
    <row r="435" spans="1:14" x14ac:dyDescent="0.25">
      <c r="A435" t="s">
        <v>446</v>
      </c>
      <c r="B435" s="2">
        <v>45046</v>
      </c>
      <c r="C435" t="s">
        <v>614</v>
      </c>
      <c r="D435" t="s">
        <v>619</v>
      </c>
      <c r="E435" t="s">
        <v>623</v>
      </c>
      <c r="F435" t="s">
        <v>629</v>
      </c>
      <c r="G435" t="s">
        <v>631</v>
      </c>
      <c r="H435">
        <v>7</v>
      </c>
      <c r="I435" s="35">
        <v>256548</v>
      </c>
      <c r="J435" s="35">
        <v>1795836</v>
      </c>
      <c r="K435" s="35">
        <v>1339730.0227864829</v>
      </c>
      <c r="L435" s="35">
        <v>335747.88859043398</v>
      </c>
      <c r="M435" s="35">
        <v>1460088.1114095659</v>
      </c>
      <c r="N435" s="35">
        <v>120358.08862308296</v>
      </c>
    </row>
    <row r="436" spans="1:14" x14ac:dyDescent="0.25">
      <c r="A436" t="s">
        <v>447</v>
      </c>
      <c r="B436" s="2">
        <v>45530</v>
      </c>
      <c r="C436" t="s">
        <v>616</v>
      </c>
      <c r="D436" t="s">
        <v>619</v>
      </c>
      <c r="E436" t="s">
        <v>624</v>
      </c>
      <c r="F436" t="s">
        <v>626</v>
      </c>
      <c r="G436" t="s">
        <v>633</v>
      </c>
      <c r="H436">
        <v>8</v>
      </c>
      <c r="I436" s="35">
        <v>340198</v>
      </c>
      <c r="J436" s="35">
        <v>2721584</v>
      </c>
      <c r="K436" s="35">
        <v>1394740.18955654</v>
      </c>
      <c r="L436" s="35">
        <v>494893.99733307923</v>
      </c>
      <c r="M436" s="35">
        <v>2226690.0026669209</v>
      </c>
      <c r="N436" s="35">
        <v>831949.8131103809</v>
      </c>
    </row>
    <row r="437" spans="1:14" x14ac:dyDescent="0.25">
      <c r="A437" t="s">
        <v>448</v>
      </c>
      <c r="B437" s="2">
        <v>44984</v>
      </c>
      <c r="C437" t="s">
        <v>613</v>
      </c>
      <c r="D437" t="s">
        <v>618</v>
      </c>
      <c r="E437" t="s">
        <v>620</v>
      </c>
      <c r="F437" t="s">
        <v>630</v>
      </c>
      <c r="G437" t="s">
        <v>631</v>
      </c>
      <c r="H437">
        <v>1</v>
      </c>
      <c r="I437" s="35">
        <v>226469</v>
      </c>
      <c r="J437" s="35">
        <v>226469</v>
      </c>
      <c r="K437" s="35">
        <v>147077.7970556145</v>
      </c>
      <c r="L437" s="35">
        <v>37123.924916317119</v>
      </c>
      <c r="M437" s="35">
        <v>189345.0750836829</v>
      </c>
      <c r="N437" s="35">
        <v>42267.278028068395</v>
      </c>
    </row>
    <row r="438" spans="1:14" x14ac:dyDescent="0.25">
      <c r="A438" t="s">
        <v>449</v>
      </c>
      <c r="B438" s="2">
        <v>45272</v>
      </c>
      <c r="C438" t="s">
        <v>617</v>
      </c>
      <c r="D438" t="s">
        <v>618</v>
      </c>
      <c r="E438" t="s">
        <v>623</v>
      </c>
      <c r="F438" t="s">
        <v>629</v>
      </c>
      <c r="G438" t="s">
        <v>631</v>
      </c>
      <c r="H438">
        <v>7</v>
      </c>
      <c r="I438" s="35">
        <v>63233</v>
      </c>
      <c r="J438" s="35">
        <v>442631</v>
      </c>
      <c r="K438" s="35">
        <v>312848.54710582778</v>
      </c>
      <c r="L438" s="35">
        <v>78628.205058386549</v>
      </c>
      <c r="M438" s="35">
        <v>364002.79494161351</v>
      </c>
      <c r="N438" s="35">
        <v>51154.247835785733</v>
      </c>
    </row>
    <row r="439" spans="1:14" x14ac:dyDescent="0.25">
      <c r="A439" t="s">
        <v>450</v>
      </c>
      <c r="B439" s="2">
        <v>45400</v>
      </c>
      <c r="C439" t="s">
        <v>617</v>
      </c>
      <c r="D439" t="s">
        <v>618</v>
      </c>
      <c r="E439" t="s">
        <v>624</v>
      </c>
      <c r="F439" t="s">
        <v>628</v>
      </c>
      <c r="G439" t="s">
        <v>631</v>
      </c>
      <c r="H439">
        <v>5</v>
      </c>
      <c r="I439" s="35">
        <v>292277</v>
      </c>
      <c r="J439" s="35">
        <v>1461385</v>
      </c>
      <c r="K439" s="35">
        <v>841309.95966222044</v>
      </c>
      <c r="L439" s="35">
        <v>58227.33211740321</v>
      </c>
      <c r="M439" s="35">
        <v>1403157.6678825971</v>
      </c>
      <c r="N439" s="35">
        <v>561847.70822037663</v>
      </c>
    </row>
    <row r="440" spans="1:14" x14ac:dyDescent="0.25">
      <c r="A440" t="s">
        <v>451</v>
      </c>
      <c r="B440" s="2">
        <v>45043</v>
      </c>
      <c r="C440" t="s">
        <v>617</v>
      </c>
      <c r="D440" t="s">
        <v>618</v>
      </c>
      <c r="E440" t="s">
        <v>623</v>
      </c>
      <c r="F440" t="s">
        <v>628</v>
      </c>
      <c r="G440" t="s">
        <v>631</v>
      </c>
      <c r="H440">
        <v>1</v>
      </c>
      <c r="I440" s="35">
        <v>206140</v>
      </c>
      <c r="J440" s="35">
        <v>206140</v>
      </c>
      <c r="K440" s="35">
        <v>122103.1683251389</v>
      </c>
      <c r="L440" s="35">
        <v>11716.350143603149</v>
      </c>
      <c r="M440" s="35">
        <v>194423.64985639681</v>
      </c>
      <c r="N440" s="35">
        <v>72320.481531257901</v>
      </c>
    </row>
    <row r="441" spans="1:14" x14ac:dyDescent="0.25">
      <c r="A441" t="s">
        <v>452</v>
      </c>
      <c r="B441" s="2">
        <v>45053</v>
      </c>
      <c r="C441" t="s">
        <v>614</v>
      </c>
      <c r="D441" t="s">
        <v>619</v>
      </c>
      <c r="E441" t="s">
        <v>621</v>
      </c>
      <c r="F441" t="s">
        <v>628</v>
      </c>
      <c r="G441" t="s">
        <v>631</v>
      </c>
      <c r="H441">
        <v>3</v>
      </c>
      <c r="I441" s="35">
        <v>377871</v>
      </c>
      <c r="J441" s="35">
        <v>1133613</v>
      </c>
      <c r="K441" s="35">
        <v>775494.87123645132</v>
      </c>
      <c r="L441" s="35">
        <v>65515.695288267183</v>
      </c>
      <c r="M441" s="35">
        <v>1068097.304711733</v>
      </c>
      <c r="N441" s="35">
        <v>292602.43347528169</v>
      </c>
    </row>
    <row r="442" spans="1:14" x14ac:dyDescent="0.25">
      <c r="A442" t="s">
        <v>453</v>
      </c>
      <c r="B442" s="2">
        <v>45319</v>
      </c>
      <c r="C442" t="s">
        <v>614</v>
      </c>
      <c r="D442" t="s">
        <v>618</v>
      </c>
      <c r="E442" t="s">
        <v>620</v>
      </c>
      <c r="F442" t="s">
        <v>625</v>
      </c>
      <c r="G442" t="s">
        <v>631</v>
      </c>
      <c r="H442">
        <v>7</v>
      </c>
      <c r="I442" s="35">
        <v>402754</v>
      </c>
      <c r="J442" s="35">
        <v>2819278</v>
      </c>
      <c r="K442" s="35">
        <v>2169097.765468841</v>
      </c>
      <c r="L442" s="35">
        <v>212603.97049732151</v>
      </c>
      <c r="M442" s="35">
        <v>2606674.0295026791</v>
      </c>
      <c r="N442" s="35">
        <v>437576.26403383818</v>
      </c>
    </row>
    <row r="443" spans="1:14" x14ac:dyDescent="0.25">
      <c r="A443" t="s">
        <v>454</v>
      </c>
      <c r="B443" s="2">
        <v>45567</v>
      </c>
      <c r="C443" t="s">
        <v>613</v>
      </c>
      <c r="D443" t="s">
        <v>618</v>
      </c>
      <c r="E443" t="s">
        <v>622</v>
      </c>
      <c r="F443" t="s">
        <v>627</v>
      </c>
      <c r="G443" t="s">
        <v>631</v>
      </c>
      <c r="H443">
        <v>1</v>
      </c>
      <c r="I443" s="35">
        <v>382597</v>
      </c>
      <c r="J443" s="35">
        <v>382597</v>
      </c>
      <c r="K443" s="35">
        <v>284260.89603038848</v>
      </c>
      <c r="L443" s="35">
        <v>30096.661705472408</v>
      </c>
      <c r="M443" s="35">
        <v>352500.33829452761</v>
      </c>
      <c r="N443" s="35">
        <v>68239.442264139128</v>
      </c>
    </row>
    <row r="444" spans="1:14" x14ac:dyDescent="0.25">
      <c r="A444" t="s">
        <v>455</v>
      </c>
      <c r="B444" s="2">
        <v>44984</v>
      </c>
      <c r="C444" t="s">
        <v>617</v>
      </c>
      <c r="D444" t="s">
        <v>619</v>
      </c>
      <c r="E444" t="s">
        <v>623</v>
      </c>
      <c r="F444" t="s">
        <v>628</v>
      </c>
      <c r="G444" t="s">
        <v>631</v>
      </c>
      <c r="H444">
        <v>7</v>
      </c>
      <c r="I444" s="35">
        <v>154135</v>
      </c>
      <c r="J444" s="35">
        <v>1078945</v>
      </c>
      <c r="K444" s="35">
        <v>728222.13027392002</v>
      </c>
      <c r="L444" s="35">
        <v>117509.0489519078</v>
      </c>
      <c r="M444" s="35">
        <v>961435.95104809222</v>
      </c>
      <c r="N444" s="35">
        <v>233213.8207741722</v>
      </c>
    </row>
    <row r="445" spans="1:14" x14ac:dyDescent="0.25">
      <c r="A445" t="s">
        <v>456</v>
      </c>
      <c r="B445" s="2">
        <v>45560</v>
      </c>
      <c r="C445" t="s">
        <v>617</v>
      </c>
      <c r="D445" t="s">
        <v>618</v>
      </c>
      <c r="E445" t="s">
        <v>621</v>
      </c>
      <c r="F445" t="s">
        <v>630</v>
      </c>
      <c r="G445" t="s">
        <v>631</v>
      </c>
      <c r="H445">
        <v>5</v>
      </c>
      <c r="I445" s="35">
        <v>469048</v>
      </c>
      <c r="J445" s="35">
        <v>2345240</v>
      </c>
      <c r="K445" s="35">
        <v>1686383.554405903</v>
      </c>
      <c r="L445" s="35">
        <v>74991.283247502608</v>
      </c>
      <c r="M445" s="35">
        <v>2270248.716752497</v>
      </c>
      <c r="N445" s="35">
        <v>583865.16234659404</v>
      </c>
    </row>
    <row r="446" spans="1:14" x14ac:dyDescent="0.25">
      <c r="A446" t="s">
        <v>457</v>
      </c>
      <c r="B446" s="2">
        <v>45439</v>
      </c>
      <c r="C446" t="s">
        <v>616</v>
      </c>
      <c r="D446" t="s">
        <v>619</v>
      </c>
      <c r="E446" t="s">
        <v>622</v>
      </c>
      <c r="F446" t="s">
        <v>628</v>
      </c>
      <c r="G446" t="s">
        <v>633</v>
      </c>
      <c r="H446">
        <v>1</v>
      </c>
      <c r="I446" s="35">
        <v>420608</v>
      </c>
      <c r="J446" s="35">
        <v>420608</v>
      </c>
      <c r="K446" s="35">
        <v>256338.17486474861</v>
      </c>
      <c r="L446" s="35">
        <v>58148.775352339479</v>
      </c>
      <c r="M446" s="35">
        <v>362459.22464766051</v>
      </c>
      <c r="N446" s="35">
        <v>106121.0497829119</v>
      </c>
    </row>
    <row r="447" spans="1:14" x14ac:dyDescent="0.25">
      <c r="A447" t="s">
        <v>458</v>
      </c>
      <c r="B447" s="2">
        <v>45022</v>
      </c>
      <c r="C447" t="s">
        <v>614</v>
      </c>
      <c r="D447" t="s">
        <v>619</v>
      </c>
      <c r="E447" t="s">
        <v>622</v>
      </c>
      <c r="F447" t="s">
        <v>625</v>
      </c>
      <c r="G447" t="s">
        <v>632</v>
      </c>
      <c r="H447">
        <v>1</v>
      </c>
      <c r="I447" s="35">
        <v>267314</v>
      </c>
      <c r="J447" s="35">
        <v>267314</v>
      </c>
      <c r="K447" s="35">
        <v>185058.7177534574</v>
      </c>
      <c r="L447" s="35">
        <v>8958.5763775289706</v>
      </c>
      <c r="M447" s="35">
        <v>258355.42362247099</v>
      </c>
      <c r="N447" s="35">
        <v>73296.705869013589</v>
      </c>
    </row>
    <row r="448" spans="1:14" x14ac:dyDescent="0.25">
      <c r="A448" t="s">
        <v>459</v>
      </c>
      <c r="B448" s="2">
        <v>45564</v>
      </c>
      <c r="C448" t="s">
        <v>617</v>
      </c>
      <c r="D448" t="s">
        <v>619</v>
      </c>
      <c r="E448" t="s">
        <v>623</v>
      </c>
      <c r="F448" t="s">
        <v>626</v>
      </c>
      <c r="G448" t="s">
        <v>631</v>
      </c>
      <c r="H448">
        <v>1</v>
      </c>
      <c r="I448" s="35">
        <v>63682</v>
      </c>
      <c r="J448" s="35">
        <v>63682</v>
      </c>
      <c r="K448" s="35">
        <v>40747.212825855517</v>
      </c>
      <c r="L448" s="35">
        <v>3952.2129514763592</v>
      </c>
      <c r="M448" s="35">
        <v>59729.787048523642</v>
      </c>
      <c r="N448" s="35">
        <v>18982.574222668125</v>
      </c>
    </row>
    <row r="449" spans="1:14" x14ac:dyDescent="0.25">
      <c r="A449" t="s">
        <v>460</v>
      </c>
      <c r="B449" s="2">
        <v>45044</v>
      </c>
      <c r="C449" t="s">
        <v>613</v>
      </c>
      <c r="D449" t="s">
        <v>618</v>
      </c>
      <c r="E449" t="s">
        <v>624</v>
      </c>
      <c r="F449" t="s">
        <v>630</v>
      </c>
      <c r="G449" t="s">
        <v>632</v>
      </c>
      <c r="H449">
        <v>9</v>
      </c>
      <c r="I449" s="35">
        <v>204455</v>
      </c>
      <c r="J449" s="35">
        <v>1840095</v>
      </c>
      <c r="K449" s="35">
        <v>1024897.660504463</v>
      </c>
      <c r="L449" s="35">
        <v>185240.57162054619</v>
      </c>
      <c r="M449" s="35">
        <v>1654854.428379454</v>
      </c>
      <c r="N449" s="35">
        <v>629956.76787499094</v>
      </c>
    </row>
    <row r="450" spans="1:14" x14ac:dyDescent="0.25">
      <c r="A450" t="s">
        <v>461</v>
      </c>
      <c r="B450" s="2">
        <v>45486</v>
      </c>
      <c r="C450" t="s">
        <v>613</v>
      </c>
      <c r="D450" t="s">
        <v>618</v>
      </c>
      <c r="E450" t="s">
        <v>623</v>
      </c>
      <c r="F450" t="s">
        <v>625</v>
      </c>
      <c r="G450" t="s">
        <v>631</v>
      </c>
      <c r="H450">
        <v>3</v>
      </c>
      <c r="I450" s="35">
        <v>370304</v>
      </c>
      <c r="J450" s="35">
        <v>1110912</v>
      </c>
      <c r="K450" s="35">
        <v>789326.84079285944</v>
      </c>
      <c r="L450" s="35">
        <v>176955.07541663389</v>
      </c>
      <c r="M450" s="35">
        <v>933956.92458336614</v>
      </c>
      <c r="N450" s="35">
        <v>144630.0837905067</v>
      </c>
    </row>
    <row r="451" spans="1:14" x14ac:dyDescent="0.25">
      <c r="A451" t="s">
        <v>462</v>
      </c>
      <c r="B451" s="2">
        <v>45527</v>
      </c>
      <c r="C451" t="s">
        <v>617</v>
      </c>
      <c r="D451" t="s">
        <v>619</v>
      </c>
      <c r="E451" t="s">
        <v>621</v>
      </c>
      <c r="F451" t="s">
        <v>626</v>
      </c>
      <c r="G451" t="s">
        <v>631</v>
      </c>
      <c r="H451">
        <v>5</v>
      </c>
      <c r="I451" s="35">
        <v>274404</v>
      </c>
      <c r="J451" s="35">
        <v>1372020</v>
      </c>
      <c r="K451" s="35">
        <v>915054.18352059927</v>
      </c>
      <c r="L451" s="35">
        <v>202913.3154776397</v>
      </c>
      <c r="M451" s="35">
        <v>1169106.6845223601</v>
      </c>
      <c r="N451" s="35">
        <v>254052.50100176083</v>
      </c>
    </row>
    <row r="452" spans="1:14" x14ac:dyDescent="0.25">
      <c r="A452" t="s">
        <v>463</v>
      </c>
      <c r="B452" s="2">
        <v>45414</v>
      </c>
      <c r="C452" t="s">
        <v>614</v>
      </c>
      <c r="D452" t="s">
        <v>618</v>
      </c>
      <c r="E452" t="s">
        <v>622</v>
      </c>
      <c r="F452" t="s">
        <v>630</v>
      </c>
      <c r="G452" t="s">
        <v>633</v>
      </c>
      <c r="H452">
        <v>9</v>
      </c>
      <c r="I452" s="35">
        <v>335810</v>
      </c>
      <c r="J452" s="35">
        <v>3022290</v>
      </c>
      <c r="K452" s="35">
        <v>1836302.5262767561</v>
      </c>
      <c r="L452" s="35">
        <v>390198.40600719152</v>
      </c>
      <c r="M452" s="35">
        <v>2632091.5939928079</v>
      </c>
      <c r="N452" s="35">
        <v>795789.06771605182</v>
      </c>
    </row>
    <row r="453" spans="1:14" x14ac:dyDescent="0.25">
      <c r="A453" t="s">
        <v>464</v>
      </c>
      <c r="B453" s="2">
        <v>45163</v>
      </c>
      <c r="C453" t="s">
        <v>613</v>
      </c>
      <c r="D453" t="s">
        <v>618</v>
      </c>
      <c r="E453" t="s">
        <v>623</v>
      </c>
      <c r="F453" t="s">
        <v>629</v>
      </c>
      <c r="G453" t="s">
        <v>633</v>
      </c>
      <c r="H453">
        <v>6</v>
      </c>
      <c r="I453" s="35">
        <v>370961</v>
      </c>
      <c r="J453" s="35">
        <v>2225766</v>
      </c>
      <c r="K453" s="35">
        <v>1721411.335123366</v>
      </c>
      <c r="L453" s="35">
        <v>69342.965421696616</v>
      </c>
      <c r="M453" s="35">
        <v>2156423.0345783029</v>
      </c>
      <c r="N453" s="35">
        <v>435011.6994549369</v>
      </c>
    </row>
    <row r="454" spans="1:14" x14ac:dyDescent="0.25">
      <c r="A454" t="s">
        <v>465</v>
      </c>
      <c r="B454" s="2">
        <v>45198</v>
      </c>
      <c r="C454" t="s">
        <v>616</v>
      </c>
      <c r="D454" t="s">
        <v>619</v>
      </c>
      <c r="E454" t="s">
        <v>624</v>
      </c>
      <c r="F454" t="s">
        <v>627</v>
      </c>
      <c r="G454" t="s">
        <v>632</v>
      </c>
      <c r="H454">
        <v>9</v>
      </c>
      <c r="I454" s="35">
        <v>141198</v>
      </c>
      <c r="J454" s="35">
        <v>1270782</v>
      </c>
      <c r="K454" s="35">
        <v>643371.81003602757</v>
      </c>
      <c r="L454" s="35">
        <v>139035.075678411</v>
      </c>
      <c r="M454" s="35">
        <v>1131746.9243215891</v>
      </c>
      <c r="N454" s="35">
        <v>488375.11428556149</v>
      </c>
    </row>
    <row r="455" spans="1:14" x14ac:dyDescent="0.25">
      <c r="A455" t="s">
        <v>466</v>
      </c>
      <c r="B455" s="2">
        <v>45115</v>
      </c>
      <c r="C455" t="s">
        <v>613</v>
      </c>
      <c r="D455" t="s">
        <v>619</v>
      </c>
      <c r="E455" t="s">
        <v>623</v>
      </c>
      <c r="F455" t="s">
        <v>627</v>
      </c>
      <c r="G455" t="s">
        <v>633</v>
      </c>
      <c r="H455">
        <v>8</v>
      </c>
      <c r="I455" s="35">
        <v>477858</v>
      </c>
      <c r="J455" s="35">
        <v>3822864</v>
      </c>
      <c r="K455" s="35">
        <v>2273579.3436234761</v>
      </c>
      <c r="L455" s="35">
        <v>66859.216731343447</v>
      </c>
      <c r="M455" s="35">
        <v>3756004.783268657</v>
      </c>
      <c r="N455" s="35">
        <v>1482425.4396451809</v>
      </c>
    </row>
    <row r="456" spans="1:14" x14ac:dyDescent="0.25">
      <c r="A456" t="s">
        <v>467</v>
      </c>
      <c r="B456" s="2">
        <v>45630</v>
      </c>
      <c r="C456" t="s">
        <v>615</v>
      </c>
      <c r="D456" t="s">
        <v>618</v>
      </c>
      <c r="E456" t="s">
        <v>620</v>
      </c>
      <c r="F456" t="s">
        <v>625</v>
      </c>
      <c r="G456" t="s">
        <v>633</v>
      </c>
      <c r="H456">
        <v>8</v>
      </c>
      <c r="I456" s="35">
        <v>91830</v>
      </c>
      <c r="J456" s="35">
        <v>734640</v>
      </c>
      <c r="K456" s="35">
        <v>379856.20501901099</v>
      </c>
      <c r="L456" s="35">
        <v>55445.216840378307</v>
      </c>
      <c r="M456" s="35">
        <v>679194.78315962164</v>
      </c>
      <c r="N456" s="35">
        <v>299338.57814061065</v>
      </c>
    </row>
    <row r="457" spans="1:14" x14ac:dyDescent="0.25">
      <c r="A457" t="s">
        <v>468</v>
      </c>
      <c r="B457" s="2">
        <v>45373</v>
      </c>
      <c r="C457" t="s">
        <v>615</v>
      </c>
      <c r="D457" t="s">
        <v>619</v>
      </c>
      <c r="E457" t="s">
        <v>624</v>
      </c>
      <c r="F457" t="s">
        <v>626</v>
      </c>
      <c r="G457" t="s">
        <v>632</v>
      </c>
      <c r="H457">
        <v>1</v>
      </c>
      <c r="I457" s="35">
        <v>60234</v>
      </c>
      <c r="J457" s="35">
        <v>60234</v>
      </c>
      <c r="K457" s="35">
        <v>43968.301909588037</v>
      </c>
      <c r="L457" s="35">
        <v>4981.5509370970804</v>
      </c>
      <c r="M457" s="35">
        <v>55252.449062902917</v>
      </c>
      <c r="N457" s="35">
        <v>11284.14715331488</v>
      </c>
    </row>
    <row r="458" spans="1:14" x14ac:dyDescent="0.25">
      <c r="A458" t="s">
        <v>469</v>
      </c>
      <c r="B458" s="2">
        <v>45507</v>
      </c>
      <c r="C458" t="s">
        <v>614</v>
      </c>
      <c r="D458" t="s">
        <v>618</v>
      </c>
      <c r="E458" t="s">
        <v>621</v>
      </c>
      <c r="F458" t="s">
        <v>627</v>
      </c>
      <c r="G458" t="s">
        <v>633</v>
      </c>
      <c r="H458">
        <v>9</v>
      </c>
      <c r="I458" s="35">
        <v>107616</v>
      </c>
      <c r="J458" s="35">
        <v>968544</v>
      </c>
      <c r="K458" s="35">
        <v>688278.5886111568</v>
      </c>
      <c r="L458" s="35">
        <v>7711.8261613096392</v>
      </c>
      <c r="M458" s="35">
        <v>960832.17383869039</v>
      </c>
      <c r="N458" s="35">
        <v>272553.58522753359</v>
      </c>
    </row>
    <row r="459" spans="1:14" x14ac:dyDescent="0.25">
      <c r="A459" t="s">
        <v>470</v>
      </c>
      <c r="B459" s="2">
        <v>45173</v>
      </c>
      <c r="C459" t="s">
        <v>617</v>
      </c>
      <c r="D459" t="s">
        <v>618</v>
      </c>
      <c r="E459" t="s">
        <v>622</v>
      </c>
      <c r="F459" t="s">
        <v>626</v>
      </c>
      <c r="G459" t="s">
        <v>631</v>
      </c>
      <c r="H459">
        <v>6</v>
      </c>
      <c r="I459" s="35">
        <v>321365</v>
      </c>
      <c r="J459" s="35">
        <v>1928190</v>
      </c>
      <c r="K459" s="35">
        <v>1155768.0103935541</v>
      </c>
      <c r="L459" s="35">
        <v>105660.222703401</v>
      </c>
      <c r="M459" s="35">
        <v>1822529.777296599</v>
      </c>
      <c r="N459" s="35">
        <v>666761.76690304489</v>
      </c>
    </row>
    <row r="460" spans="1:14" x14ac:dyDescent="0.25">
      <c r="A460" t="s">
        <v>471</v>
      </c>
      <c r="B460" s="2">
        <v>45002</v>
      </c>
      <c r="C460" t="s">
        <v>614</v>
      </c>
      <c r="D460" t="s">
        <v>618</v>
      </c>
      <c r="E460" t="s">
        <v>623</v>
      </c>
      <c r="F460" t="s">
        <v>626</v>
      </c>
      <c r="G460" t="s">
        <v>632</v>
      </c>
      <c r="H460">
        <v>9</v>
      </c>
      <c r="I460" s="35">
        <v>192482</v>
      </c>
      <c r="J460" s="35">
        <v>1732338</v>
      </c>
      <c r="K460" s="35">
        <v>1217311.9562050791</v>
      </c>
      <c r="L460" s="35">
        <v>331101.57736509922</v>
      </c>
      <c r="M460" s="35">
        <v>1401236.422634901</v>
      </c>
      <c r="N460" s="35">
        <v>183924.46642982191</v>
      </c>
    </row>
    <row r="461" spans="1:14" x14ac:dyDescent="0.25">
      <c r="A461" t="s">
        <v>472</v>
      </c>
      <c r="B461" s="2">
        <v>45080</v>
      </c>
      <c r="C461" t="s">
        <v>614</v>
      </c>
      <c r="D461" t="s">
        <v>618</v>
      </c>
      <c r="E461" t="s">
        <v>624</v>
      </c>
      <c r="F461" t="s">
        <v>625</v>
      </c>
      <c r="G461" t="s">
        <v>632</v>
      </c>
      <c r="H461">
        <v>3</v>
      </c>
      <c r="I461" s="35">
        <v>261127</v>
      </c>
      <c r="J461" s="35">
        <v>783381</v>
      </c>
      <c r="K461" s="35">
        <v>484741.41005838278</v>
      </c>
      <c r="L461" s="35">
        <v>149411.53319084601</v>
      </c>
      <c r="M461" s="35">
        <v>633969.46680915402</v>
      </c>
      <c r="N461" s="35">
        <v>149228.05675077124</v>
      </c>
    </row>
    <row r="462" spans="1:14" x14ac:dyDescent="0.25">
      <c r="A462" t="s">
        <v>473</v>
      </c>
      <c r="B462" s="2">
        <v>45582</v>
      </c>
      <c r="C462" t="s">
        <v>614</v>
      </c>
      <c r="D462" t="s">
        <v>619</v>
      </c>
      <c r="E462" t="s">
        <v>620</v>
      </c>
      <c r="F462" t="s">
        <v>625</v>
      </c>
      <c r="G462" t="s">
        <v>631</v>
      </c>
      <c r="H462">
        <v>3</v>
      </c>
      <c r="I462" s="35">
        <v>242485</v>
      </c>
      <c r="J462" s="35">
        <v>727455</v>
      </c>
      <c r="K462" s="35">
        <v>528769.68055176211</v>
      </c>
      <c r="L462" s="35">
        <v>51260.415450256201</v>
      </c>
      <c r="M462" s="35">
        <v>676194.5845497438</v>
      </c>
      <c r="N462" s="35">
        <v>147424.90399798169</v>
      </c>
    </row>
    <row r="463" spans="1:14" x14ac:dyDescent="0.25">
      <c r="A463" t="s">
        <v>474</v>
      </c>
      <c r="B463" s="2">
        <v>45361</v>
      </c>
      <c r="C463" t="s">
        <v>614</v>
      </c>
      <c r="D463" t="s">
        <v>619</v>
      </c>
      <c r="E463" t="s">
        <v>624</v>
      </c>
      <c r="F463" t="s">
        <v>625</v>
      </c>
      <c r="G463" t="s">
        <v>633</v>
      </c>
      <c r="H463">
        <v>6</v>
      </c>
      <c r="I463" s="35">
        <v>51051</v>
      </c>
      <c r="J463" s="35">
        <v>306306</v>
      </c>
      <c r="K463" s="35">
        <v>194888.75429946891</v>
      </c>
      <c r="L463" s="35">
        <v>2640.3643943050702</v>
      </c>
      <c r="M463" s="35">
        <v>303665.63560569502</v>
      </c>
      <c r="N463" s="35">
        <v>108776.8813062261</v>
      </c>
    </row>
    <row r="464" spans="1:14" x14ac:dyDescent="0.25">
      <c r="A464" t="s">
        <v>475</v>
      </c>
      <c r="B464" s="2">
        <v>45012</v>
      </c>
      <c r="C464" t="s">
        <v>616</v>
      </c>
      <c r="D464" t="s">
        <v>619</v>
      </c>
      <c r="E464" t="s">
        <v>620</v>
      </c>
      <c r="F464" t="s">
        <v>627</v>
      </c>
      <c r="G464" t="s">
        <v>632</v>
      </c>
      <c r="H464">
        <v>9</v>
      </c>
      <c r="I464" s="35">
        <v>422673</v>
      </c>
      <c r="J464" s="35">
        <v>3804057</v>
      </c>
      <c r="K464" s="35">
        <v>2372529.1753848428</v>
      </c>
      <c r="L464" s="35">
        <v>136257.4715231889</v>
      </c>
      <c r="M464" s="35">
        <v>3667799.528476811</v>
      </c>
      <c r="N464" s="35">
        <v>1295270.3530919682</v>
      </c>
    </row>
    <row r="465" spans="1:14" x14ac:dyDescent="0.25">
      <c r="A465" t="s">
        <v>476</v>
      </c>
      <c r="B465" s="2">
        <v>45623</v>
      </c>
      <c r="C465" t="s">
        <v>616</v>
      </c>
      <c r="D465" t="s">
        <v>619</v>
      </c>
      <c r="E465" t="s">
        <v>621</v>
      </c>
      <c r="F465" t="s">
        <v>625</v>
      </c>
      <c r="G465" t="s">
        <v>632</v>
      </c>
      <c r="H465">
        <v>7</v>
      </c>
      <c r="I465" s="35">
        <v>126918</v>
      </c>
      <c r="J465" s="35">
        <v>888426</v>
      </c>
      <c r="K465" s="35">
        <v>693344.5079692828</v>
      </c>
      <c r="L465" s="35">
        <v>69691.297069797278</v>
      </c>
      <c r="M465" s="35">
        <v>818734.70293020271</v>
      </c>
      <c r="N465" s="35">
        <v>125390.19496091991</v>
      </c>
    </row>
    <row r="466" spans="1:14" x14ac:dyDescent="0.25">
      <c r="A466" t="s">
        <v>477</v>
      </c>
      <c r="B466" s="2">
        <v>45211</v>
      </c>
      <c r="C466" t="s">
        <v>613</v>
      </c>
      <c r="D466" t="s">
        <v>618</v>
      </c>
      <c r="E466" t="s">
        <v>622</v>
      </c>
      <c r="F466" t="s">
        <v>627</v>
      </c>
      <c r="G466" t="s">
        <v>631</v>
      </c>
      <c r="H466">
        <v>3</v>
      </c>
      <c r="I466" s="35">
        <v>128116</v>
      </c>
      <c r="J466" s="35">
        <v>384348</v>
      </c>
      <c r="K466" s="35">
        <v>221101.4640854373</v>
      </c>
      <c r="L466" s="35">
        <v>72855.44627101552</v>
      </c>
      <c r="M466" s="35">
        <v>311492.55372898449</v>
      </c>
      <c r="N466" s="35">
        <v>90391.089643547195</v>
      </c>
    </row>
    <row r="467" spans="1:14" x14ac:dyDescent="0.25">
      <c r="A467" t="s">
        <v>478</v>
      </c>
      <c r="B467" s="2">
        <v>45146</v>
      </c>
      <c r="C467" t="s">
        <v>615</v>
      </c>
      <c r="D467" t="s">
        <v>618</v>
      </c>
      <c r="E467" t="s">
        <v>621</v>
      </c>
      <c r="F467" t="s">
        <v>625</v>
      </c>
      <c r="G467" t="s">
        <v>631</v>
      </c>
      <c r="H467">
        <v>3</v>
      </c>
      <c r="I467" s="35">
        <v>434370</v>
      </c>
      <c r="J467" s="35">
        <v>1303110</v>
      </c>
      <c r="K467" s="35">
        <v>698641.83996687736</v>
      </c>
      <c r="L467" s="35">
        <v>36799.582337188207</v>
      </c>
      <c r="M467" s="35">
        <v>1266310.4176628119</v>
      </c>
      <c r="N467" s="35">
        <v>567668.57769593457</v>
      </c>
    </row>
    <row r="468" spans="1:14" x14ac:dyDescent="0.25">
      <c r="A468" t="s">
        <v>479</v>
      </c>
      <c r="B468" s="2">
        <v>44995</v>
      </c>
      <c r="C468" t="s">
        <v>614</v>
      </c>
      <c r="D468" t="s">
        <v>619</v>
      </c>
      <c r="E468" t="s">
        <v>623</v>
      </c>
      <c r="F468" t="s">
        <v>628</v>
      </c>
      <c r="G468" t="s">
        <v>633</v>
      </c>
      <c r="H468">
        <v>2</v>
      </c>
      <c r="I468" s="35">
        <v>499779</v>
      </c>
      <c r="J468" s="35">
        <v>999558</v>
      </c>
      <c r="K468" s="35">
        <v>675064.42356101936</v>
      </c>
      <c r="L468" s="35">
        <v>152635.67393306221</v>
      </c>
      <c r="M468" s="35">
        <v>846922.32606693776</v>
      </c>
      <c r="N468" s="35">
        <v>171857.90250591841</v>
      </c>
    </row>
    <row r="469" spans="1:14" x14ac:dyDescent="0.25">
      <c r="A469" t="s">
        <v>480</v>
      </c>
      <c r="B469" s="2">
        <v>44973</v>
      </c>
      <c r="C469" t="s">
        <v>613</v>
      </c>
      <c r="D469" t="s">
        <v>618</v>
      </c>
      <c r="E469" t="s">
        <v>624</v>
      </c>
      <c r="F469" t="s">
        <v>626</v>
      </c>
      <c r="G469" t="s">
        <v>632</v>
      </c>
      <c r="H469">
        <v>9</v>
      </c>
      <c r="I469" s="35">
        <v>278931</v>
      </c>
      <c r="J469" s="35">
        <v>2510379</v>
      </c>
      <c r="K469" s="35">
        <v>1985199.036540044</v>
      </c>
      <c r="L469" s="35">
        <v>54566.872902580028</v>
      </c>
      <c r="M469" s="35">
        <v>2455812.1270974199</v>
      </c>
      <c r="N469" s="35">
        <v>470613.09055737592</v>
      </c>
    </row>
    <row r="470" spans="1:14" x14ac:dyDescent="0.25">
      <c r="A470" t="s">
        <v>481</v>
      </c>
      <c r="B470" s="2">
        <v>45020</v>
      </c>
      <c r="C470" t="s">
        <v>615</v>
      </c>
      <c r="D470" t="s">
        <v>618</v>
      </c>
      <c r="E470" t="s">
        <v>620</v>
      </c>
      <c r="F470" t="s">
        <v>625</v>
      </c>
      <c r="G470" t="s">
        <v>633</v>
      </c>
      <c r="H470">
        <v>3</v>
      </c>
      <c r="I470" s="35">
        <v>356901</v>
      </c>
      <c r="J470" s="35">
        <v>1070703</v>
      </c>
      <c r="K470" s="35">
        <v>656717.57389660203</v>
      </c>
      <c r="L470" s="35">
        <v>210127.08637711449</v>
      </c>
      <c r="M470" s="35">
        <v>860575.91362288548</v>
      </c>
      <c r="N470" s="35">
        <v>203858.33972628345</v>
      </c>
    </row>
    <row r="471" spans="1:14" x14ac:dyDescent="0.25">
      <c r="A471" t="s">
        <v>482</v>
      </c>
      <c r="B471" s="2">
        <v>45379</v>
      </c>
      <c r="C471" t="s">
        <v>617</v>
      </c>
      <c r="D471" t="s">
        <v>618</v>
      </c>
      <c r="E471" t="s">
        <v>620</v>
      </c>
      <c r="F471" t="s">
        <v>630</v>
      </c>
      <c r="G471" t="s">
        <v>633</v>
      </c>
      <c r="H471">
        <v>5</v>
      </c>
      <c r="I471" s="35">
        <v>433152</v>
      </c>
      <c r="J471" s="35">
        <v>2165760</v>
      </c>
      <c r="K471" s="35">
        <v>1123187.022359001</v>
      </c>
      <c r="L471" s="35">
        <v>165297.94982211999</v>
      </c>
      <c r="M471" s="35">
        <v>2000462.0501778801</v>
      </c>
      <c r="N471" s="35">
        <v>877275.02781887911</v>
      </c>
    </row>
    <row r="472" spans="1:14" x14ac:dyDescent="0.25">
      <c r="A472" t="s">
        <v>483</v>
      </c>
      <c r="B472" s="2">
        <v>45130</v>
      </c>
      <c r="C472" t="s">
        <v>616</v>
      </c>
      <c r="D472" t="s">
        <v>619</v>
      </c>
      <c r="E472" t="s">
        <v>624</v>
      </c>
      <c r="F472" t="s">
        <v>626</v>
      </c>
      <c r="G472" t="s">
        <v>631</v>
      </c>
      <c r="H472">
        <v>9</v>
      </c>
      <c r="I472" s="35">
        <v>258547</v>
      </c>
      <c r="J472" s="35">
        <v>2326923</v>
      </c>
      <c r="K472" s="35">
        <v>1400322.6691571339</v>
      </c>
      <c r="L472" s="35">
        <v>360782.21579172171</v>
      </c>
      <c r="M472" s="35">
        <v>1966140.7842082779</v>
      </c>
      <c r="N472" s="35">
        <v>565818.11505114404</v>
      </c>
    </row>
    <row r="473" spans="1:14" x14ac:dyDescent="0.25">
      <c r="A473" t="s">
        <v>484</v>
      </c>
      <c r="B473" s="2">
        <v>45144</v>
      </c>
      <c r="C473" t="s">
        <v>615</v>
      </c>
      <c r="D473" t="s">
        <v>619</v>
      </c>
      <c r="E473" t="s">
        <v>624</v>
      </c>
      <c r="F473" t="s">
        <v>626</v>
      </c>
      <c r="G473" t="s">
        <v>632</v>
      </c>
      <c r="H473">
        <v>8</v>
      </c>
      <c r="I473" s="35">
        <v>494473</v>
      </c>
      <c r="J473" s="35">
        <v>3955784</v>
      </c>
      <c r="K473" s="35">
        <v>2578298.9029752519</v>
      </c>
      <c r="L473" s="35">
        <v>271043.26478539011</v>
      </c>
      <c r="M473" s="35">
        <v>3684740.7352146101</v>
      </c>
      <c r="N473" s="35">
        <v>1106441.8322393582</v>
      </c>
    </row>
    <row r="474" spans="1:14" x14ac:dyDescent="0.25">
      <c r="A474" t="s">
        <v>485</v>
      </c>
      <c r="B474" s="2">
        <v>45400</v>
      </c>
      <c r="C474" t="s">
        <v>617</v>
      </c>
      <c r="D474" t="s">
        <v>619</v>
      </c>
      <c r="E474" t="s">
        <v>623</v>
      </c>
      <c r="F474" t="s">
        <v>625</v>
      </c>
      <c r="G474" t="s">
        <v>632</v>
      </c>
      <c r="H474">
        <v>2</v>
      </c>
      <c r="I474" s="35">
        <v>276572</v>
      </c>
      <c r="J474" s="35">
        <v>553144</v>
      </c>
      <c r="K474" s="35">
        <v>303442.02187417081</v>
      </c>
      <c r="L474" s="35">
        <v>69438.254677426419</v>
      </c>
      <c r="M474" s="35">
        <v>483705.74532257358</v>
      </c>
      <c r="N474" s="35">
        <v>180263.72344840277</v>
      </c>
    </row>
    <row r="475" spans="1:14" x14ac:dyDescent="0.25">
      <c r="A475" t="s">
        <v>486</v>
      </c>
      <c r="B475" s="2">
        <v>45358</v>
      </c>
      <c r="C475" t="s">
        <v>615</v>
      </c>
      <c r="D475" t="s">
        <v>618</v>
      </c>
      <c r="E475" t="s">
        <v>621</v>
      </c>
      <c r="F475" t="s">
        <v>629</v>
      </c>
      <c r="G475" t="s">
        <v>632</v>
      </c>
      <c r="H475">
        <v>3</v>
      </c>
      <c r="I475" s="35">
        <v>181379</v>
      </c>
      <c r="J475" s="35">
        <v>544137</v>
      </c>
      <c r="K475" s="35">
        <v>379497.82998798159</v>
      </c>
      <c r="L475" s="35">
        <v>20896.61126043788</v>
      </c>
      <c r="M475" s="35">
        <v>523240.38873956213</v>
      </c>
      <c r="N475" s="35">
        <v>143742.55875158054</v>
      </c>
    </row>
    <row r="476" spans="1:14" x14ac:dyDescent="0.25">
      <c r="A476" t="s">
        <v>487</v>
      </c>
      <c r="B476" s="2">
        <v>45267</v>
      </c>
      <c r="C476" t="s">
        <v>616</v>
      </c>
      <c r="D476" t="s">
        <v>619</v>
      </c>
      <c r="E476" t="s">
        <v>620</v>
      </c>
      <c r="F476" t="s">
        <v>625</v>
      </c>
      <c r="G476" t="s">
        <v>631</v>
      </c>
      <c r="H476">
        <v>2</v>
      </c>
      <c r="I476" s="35">
        <v>106889</v>
      </c>
      <c r="J476" s="35">
        <v>213778</v>
      </c>
      <c r="K476" s="35">
        <v>170878.0606651468</v>
      </c>
      <c r="L476" s="35">
        <v>6243.2162926532119</v>
      </c>
      <c r="M476" s="35">
        <v>207534.7837073468</v>
      </c>
      <c r="N476" s="35">
        <v>36656.723042199999</v>
      </c>
    </row>
    <row r="477" spans="1:14" x14ac:dyDescent="0.25">
      <c r="A477" t="s">
        <v>488</v>
      </c>
      <c r="B477" s="2">
        <v>45477</v>
      </c>
      <c r="C477" t="s">
        <v>616</v>
      </c>
      <c r="D477" t="s">
        <v>619</v>
      </c>
      <c r="E477" t="s">
        <v>623</v>
      </c>
      <c r="F477" t="s">
        <v>626</v>
      </c>
      <c r="G477" t="s">
        <v>631</v>
      </c>
      <c r="H477">
        <v>8</v>
      </c>
      <c r="I477" s="35">
        <v>276256</v>
      </c>
      <c r="J477" s="35">
        <v>2210048</v>
      </c>
      <c r="K477" s="35">
        <v>1404533.777624151</v>
      </c>
      <c r="L477" s="35">
        <v>414633.35510485392</v>
      </c>
      <c r="M477" s="35">
        <v>1795414.6448951459</v>
      </c>
      <c r="N477" s="35">
        <v>390880.86727099493</v>
      </c>
    </row>
    <row r="478" spans="1:14" x14ac:dyDescent="0.25">
      <c r="A478" t="s">
        <v>489</v>
      </c>
      <c r="B478" s="2">
        <v>45538</v>
      </c>
      <c r="C478" t="s">
        <v>613</v>
      </c>
      <c r="D478" t="s">
        <v>619</v>
      </c>
      <c r="E478" t="s">
        <v>621</v>
      </c>
      <c r="F478" t="s">
        <v>630</v>
      </c>
      <c r="G478" t="s">
        <v>631</v>
      </c>
      <c r="H478">
        <v>6</v>
      </c>
      <c r="I478" s="35">
        <v>348088</v>
      </c>
      <c r="J478" s="35">
        <v>2088528</v>
      </c>
      <c r="K478" s="35">
        <v>1266522.156939191</v>
      </c>
      <c r="L478" s="35">
        <v>383306.40680543822</v>
      </c>
      <c r="M478" s="35">
        <v>1705221.593194562</v>
      </c>
      <c r="N478" s="35">
        <v>438699.43625537097</v>
      </c>
    </row>
    <row r="479" spans="1:14" x14ac:dyDescent="0.25">
      <c r="A479" t="s">
        <v>490</v>
      </c>
      <c r="B479" s="2">
        <v>45215</v>
      </c>
      <c r="C479" t="s">
        <v>614</v>
      </c>
      <c r="D479" t="s">
        <v>619</v>
      </c>
      <c r="E479" t="s">
        <v>623</v>
      </c>
      <c r="F479" t="s">
        <v>626</v>
      </c>
      <c r="G479" t="s">
        <v>631</v>
      </c>
      <c r="H479">
        <v>6</v>
      </c>
      <c r="I479" s="35">
        <v>411699</v>
      </c>
      <c r="J479" s="35">
        <v>2470194</v>
      </c>
      <c r="K479" s="35">
        <v>1532042.10860685</v>
      </c>
      <c r="L479" s="35">
        <v>438444.09026004409</v>
      </c>
      <c r="M479" s="35">
        <v>2031749.909739956</v>
      </c>
      <c r="N479" s="35">
        <v>499707.801133106</v>
      </c>
    </row>
    <row r="480" spans="1:14" x14ac:dyDescent="0.25">
      <c r="A480" t="s">
        <v>491</v>
      </c>
      <c r="B480" s="2">
        <v>45180</v>
      </c>
      <c r="C480" t="s">
        <v>615</v>
      </c>
      <c r="D480" t="s">
        <v>619</v>
      </c>
      <c r="E480" t="s">
        <v>620</v>
      </c>
      <c r="F480" t="s">
        <v>630</v>
      </c>
      <c r="G480" t="s">
        <v>631</v>
      </c>
      <c r="H480">
        <v>9</v>
      </c>
      <c r="I480" s="35">
        <v>88134</v>
      </c>
      <c r="J480" s="35">
        <v>793206</v>
      </c>
      <c r="K480" s="35">
        <v>424003.39187404321</v>
      </c>
      <c r="L480" s="35">
        <v>99219.513054568597</v>
      </c>
      <c r="M480" s="35">
        <v>693986.48694543145</v>
      </c>
      <c r="N480" s="35">
        <v>269983.09507138823</v>
      </c>
    </row>
    <row r="481" spans="1:14" x14ac:dyDescent="0.25">
      <c r="A481" t="s">
        <v>492</v>
      </c>
      <c r="B481" s="2">
        <v>45283</v>
      </c>
      <c r="C481" t="s">
        <v>615</v>
      </c>
      <c r="D481" t="s">
        <v>619</v>
      </c>
      <c r="E481" t="s">
        <v>624</v>
      </c>
      <c r="F481" t="s">
        <v>627</v>
      </c>
      <c r="G481" t="s">
        <v>632</v>
      </c>
      <c r="H481">
        <v>8</v>
      </c>
      <c r="I481" s="35">
        <v>470539</v>
      </c>
      <c r="J481" s="35">
        <v>3764312</v>
      </c>
      <c r="K481" s="35">
        <v>2879631.2251395858</v>
      </c>
      <c r="L481" s="35">
        <v>608514.7453399942</v>
      </c>
      <c r="M481" s="35">
        <v>3155797.2546600061</v>
      </c>
      <c r="N481" s="35">
        <v>276166.02952042036</v>
      </c>
    </row>
    <row r="482" spans="1:14" x14ac:dyDescent="0.25">
      <c r="A482" t="s">
        <v>493</v>
      </c>
      <c r="B482" s="2">
        <v>44949</v>
      </c>
      <c r="C482" t="s">
        <v>617</v>
      </c>
      <c r="D482" t="s">
        <v>618</v>
      </c>
      <c r="E482" t="s">
        <v>624</v>
      </c>
      <c r="F482" t="s">
        <v>628</v>
      </c>
      <c r="G482" t="s">
        <v>633</v>
      </c>
      <c r="H482">
        <v>4</v>
      </c>
      <c r="I482" s="35">
        <v>252834</v>
      </c>
      <c r="J482" s="35">
        <v>1011336</v>
      </c>
      <c r="K482" s="35">
        <v>631526.43574570271</v>
      </c>
      <c r="L482" s="35">
        <v>13963.907925640449</v>
      </c>
      <c r="M482" s="35">
        <v>997372.09207435953</v>
      </c>
      <c r="N482" s="35">
        <v>365845.65632865683</v>
      </c>
    </row>
    <row r="483" spans="1:14" x14ac:dyDescent="0.25">
      <c r="A483" t="s">
        <v>494</v>
      </c>
      <c r="B483" s="2">
        <v>45448</v>
      </c>
      <c r="C483" t="s">
        <v>616</v>
      </c>
      <c r="D483" t="s">
        <v>618</v>
      </c>
      <c r="E483" t="s">
        <v>621</v>
      </c>
      <c r="F483" t="s">
        <v>626</v>
      </c>
      <c r="G483" t="s">
        <v>632</v>
      </c>
      <c r="H483">
        <v>4</v>
      </c>
      <c r="I483" s="35">
        <v>277579</v>
      </c>
      <c r="J483" s="35">
        <v>1110316</v>
      </c>
      <c r="K483" s="35">
        <v>684157.0926186752</v>
      </c>
      <c r="L483" s="35">
        <v>74344.325967178273</v>
      </c>
      <c r="M483" s="35">
        <v>1035971.674032822</v>
      </c>
      <c r="N483" s="35">
        <v>351814.58141414681</v>
      </c>
    </row>
    <row r="484" spans="1:14" x14ac:dyDescent="0.25">
      <c r="A484" t="s">
        <v>495</v>
      </c>
      <c r="B484" s="2">
        <v>45026</v>
      </c>
      <c r="C484" t="s">
        <v>615</v>
      </c>
      <c r="D484" t="s">
        <v>619</v>
      </c>
      <c r="E484" t="s">
        <v>622</v>
      </c>
      <c r="F484" t="s">
        <v>625</v>
      </c>
      <c r="G484" t="s">
        <v>633</v>
      </c>
      <c r="H484">
        <v>9</v>
      </c>
      <c r="I484" s="35">
        <v>75954</v>
      </c>
      <c r="J484" s="35">
        <v>683586</v>
      </c>
      <c r="K484" s="35">
        <v>477079.5104734354</v>
      </c>
      <c r="L484" s="35">
        <v>42888.612848049081</v>
      </c>
      <c r="M484" s="35">
        <v>640697.38715195097</v>
      </c>
      <c r="N484" s="35">
        <v>163617.87667851557</v>
      </c>
    </row>
    <row r="485" spans="1:14" x14ac:dyDescent="0.25">
      <c r="A485" t="s">
        <v>496</v>
      </c>
      <c r="B485" s="2">
        <v>45106</v>
      </c>
      <c r="C485" t="s">
        <v>616</v>
      </c>
      <c r="D485" t="s">
        <v>619</v>
      </c>
      <c r="E485" t="s">
        <v>621</v>
      </c>
      <c r="F485" t="s">
        <v>627</v>
      </c>
      <c r="G485" t="s">
        <v>631</v>
      </c>
      <c r="H485">
        <v>1</v>
      </c>
      <c r="I485" s="35">
        <v>236093</v>
      </c>
      <c r="J485" s="35">
        <v>236093</v>
      </c>
      <c r="K485" s="35">
        <v>149354.79893436751</v>
      </c>
      <c r="L485" s="35">
        <v>30014.282199151661</v>
      </c>
      <c r="M485" s="35">
        <v>206078.7178008483</v>
      </c>
      <c r="N485" s="35">
        <v>56723.918866480788</v>
      </c>
    </row>
    <row r="486" spans="1:14" x14ac:dyDescent="0.25">
      <c r="A486" t="s">
        <v>497</v>
      </c>
      <c r="B486" s="2">
        <v>45149</v>
      </c>
      <c r="C486" t="s">
        <v>615</v>
      </c>
      <c r="D486" t="s">
        <v>618</v>
      </c>
      <c r="E486" t="s">
        <v>622</v>
      </c>
      <c r="F486" t="s">
        <v>628</v>
      </c>
      <c r="G486" t="s">
        <v>633</v>
      </c>
      <c r="H486">
        <v>2</v>
      </c>
      <c r="I486" s="35">
        <v>402103</v>
      </c>
      <c r="J486" s="35">
        <v>804206</v>
      </c>
      <c r="K486" s="35">
        <v>558496.9735048248</v>
      </c>
      <c r="L486" s="35">
        <v>57252.675434345991</v>
      </c>
      <c r="M486" s="35">
        <v>746953.32456565404</v>
      </c>
      <c r="N486" s="35">
        <v>188456.35106082924</v>
      </c>
    </row>
    <row r="487" spans="1:14" x14ac:dyDescent="0.25">
      <c r="A487" t="s">
        <v>498</v>
      </c>
      <c r="B487" s="2">
        <v>45585</v>
      </c>
      <c r="C487" t="s">
        <v>613</v>
      </c>
      <c r="D487" t="s">
        <v>618</v>
      </c>
      <c r="E487" t="s">
        <v>623</v>
      </c>
      <c r="F487" t="s">
        <v>625</v>
      </c>
      <c r="G487" t="s">
        <v>632</v>
      </c>
      <c r="H487">
        <v>2</v>
      </c>
      <c r="I487" s="35">
        <v>276999</v>
      </c>
      <c r="J487" s="35">
        <v>553998</v>
      </c>
      <c r="K487" s="35">
        <v>287211.33655196283</v>
      </c>
      <c r="L487" s="35">
        <v>16454.49200340718</v>
      </c>
      <c r="M487" s="35">
        <v>537543.50799659279</v>
      </c>
      <c r="N487" s="35">
        <v>250332.17144462996</v>
      </c>
    </row>
    <row r="488" spans="1:14" x14ac:dyDescent="0.25">
      <c r="A488" t="s">
        <v>499</v>
      </c>
      <c r="B488" s="2">
        <v>45368</v>
      </c>
      <c r="C488" t="s">
        <v>614</v>
      </c>
      <c r="D488" t="s">
        <v>619</v>
      </c>
      <c r="E488" t="s">
        <v>623</v>
      </c>
      <c r="F488" t="s">
        <v>629</v>
      </c>
      <c r="G488" t="s">
        <v>632</v>
      </c>
      <c r="H488">
        <v>6</v>
      </c>
      <c r="I488" s="35">
        <v>260938</v>
      </c>
      <c r="J488" s="35">
        <v>1565628</v>
      </c>
      <c r="K488" s="35">
        <v>1165010.4153555429</v>
      </c>
      <c r="L488" s="35">
        <v>186769.11086911109</v>
      </c>
      <c r="M488" s="35">
        <v>1378858.889130889</v>
      </c>
      <c r="N488" s="35">
        <v>213848.47377534606</v>
      </c>
    </row>
    <row r="489" spans="1:14" x14ac:dyDescent="0.25">
      <c r="A489" t="s">
        <v>500</v>
      </c>
      <c r="B489" s="2">
        <v>45534</v>
      </c>
      <c r="C489" t="s">
        <v>615</v>
      </c>
      <c r="D489" t="s">
        <v>619</v>
      </c>
      <c r="E489" t="s">
        <v>620</v>
      </c>
      <c r="F489" t="s">
        <v>625</v>
      </c>
      <c r="G489" t="s">
        <v>633</v>
      </c>
      <c r="H489">
        <v>4</v>
      </c>
      <c r="I489" s="35">
        <v>251499</v>
      </c>
      <c r="J489" s="35">
        <v>1005996</v>
      </c>
      <c r="K489" s="35">
        <v>786840.96437426028</v>
      </c>
      <c r="L489" s="35">
        <v>163853.39333148269</v>
      </c>
      <c r="M489" s="35">
        <v>842142.60666851734</v>
      </c>
      <c r="N489" s="35">
        <v>55301.642294257064</v>
      </c>
    </row>
    <row r="490" spans="1:14" x14ac:dyDescent="0.25">
      <c r="A490" t="s">
        <v>501</v>
      </c>
      <c r="B490" s="2">
        <v>45251</v>
      </c>
      <c r="C490" t="s">
        <v>616</v>
      </c>
      <c r="D490" t="s">
        <v>619</v>
      </c>
      <c r="E490" t="s">
        <v>622</v>
      </c>
      <c r="F490" t="s">
        <v>630</v>
      </c>
      <c r="G490" t="s">
        <v>631</v>
      </c>
      <c r="H490">
        <v>3</v>
      </c>
      <c r="I490" s="35">
        <v>317136</v>
      </c>
      <c r="J490" s="35">
        <v>951408</v>
      </c>
      <c r="K490" s="35">
        <v>660876.17355453875</v>
      </c>
      <c r="L490" s="35">
        <v>72711.069923434843</v>
      </c>
      <c r="M490" s="35">
        <v>878696.93007656513</v>
      </c>
      <c r="N490" s="35">
        <v>217820.75652202638</v>
      </c>
    </row>
    <row r="491" spans="1:14" x14ac:dyDescent="0.25">
      <c r="A491" t="s">
        <v>502</v>
      </c>
      <c r="B491" s="2">
        <v>45442</v>
      </c>
      <c r="C491" t="s">
        <v>613</v>
      </c>
      <c r="D491" t="s">
        <v>619</v>
      </c>
      <c r="E491" t="s">
        <v>620</v>
      </c>
      <c r="F491" t="s">
        <v>630</v>
      </c>
      <c r="G491" t="s">
        <v>631</v>
      </c>
      <c r="H491">
        <v>3</v>
      </c>
      <c r="I491" s="35">
        <v>51961</v>
      </c>
      <c r="J491" s="35">
        <v>155883</v>
      </c>
      <c r="K491" s="35">
        <v>122581.6802064894</v>
      </c>
      <c r="L491" s="35">
        <v>4123.688823139325</v>
      </c>
      <c r="M491" s="35">
        <v>151759.31117686071</v>
      </c>
      <c r="N491" s="35">
        <v>29177.630970371305</v>
      </c>
    </row>
    <row r="492" spans="1:14" x14ac:dyDescent="0.25">
      <c r="A492" t="s">
        <v>503</v>
      </c>
      <c r="B492" s="2">
        <v>44942</v>
      </c>
      <c r="C492" t="s">
        <v>615</v>
      </c>
      <c r="D492" t="s">
        <v>618</v>
      </c>
      <c r="E492" t="s">
        <v>624</v>
      </c>
      <c r="F492" t="s">
        <v>629</v>
      </c>
      <c r="G492" t="s">
        <v>632</v>
      </c>
      <c r="H492">
        <v>3</v>
      </c>
      <c r="I492" s="35">
        <v>62497</v>
      </c>
      <c r="J492" s="35">
        <v>187491</v>
      </c>
      <c r="K492" s="35">
        <v>102263.15881606159</v>
      </c>
      <c r="L492" s="35">
        <v>7375.4533604757016</v>
      </c>
      <c r="M492" s="35">
        <v>180115.54663952431</v>
      </c>
      <c r="N492" s="35">
        <v>77852.387823462719</v>
      </c>
    </row>
    <row r="493" spans="1:14" x14ac:dyDescent="0.25">
      <c r="A493" t="s">
        <v>504</v>
      </c>
      <c r="B493" s="2">
        <v>45262</v>
      </c>
      <c r="C493" t="s">
        <v>617</v>
      </c>
      <c r="D493" t="s">
        <v>619</v>
      </c>
      <c r="E493" t="s">
        <v>622</v>
      </c>
      <c r="F493" t="s">
        <v>627</v>
      </c>
      <c r="G493" t="s">
        <v>633</v>
      </c>
      <c r="H493">
        <v>6</v>
      </c>
      <c r="I493" s="35">
        <v>475767</v>
      </c>
      <c r="J493" s="35">
        <v>2854602</v>
      </c>
      <c r="K493" s="35">
        <v>1836150.962796899</v>
      </c>
      <c r="L493" s="35">
        <v>135584.0635806268</v>
      </c>
      <c r="M493" s="35">
        <v>2719017.9364193729</v>
      </c>
      <c r="N493" s="35">
        <v>882866.973622474</v>
      </c>
    </row>
    <row r="494" spans="1:14" x14ac:dyDescent="0.25">
      <c r="A494" t="s">
        <v>505</v>
      </c>
      <c r="B494" s="2">
        <v>45184</v>
      </c>
      <c r="C494" t="s">
        <v>614</v>
      </c>
      <c r="D494" t="s">
        <v>619</v>
      </c>
      <c r="E494" t="s">
        <v>621</v>
      </c>
      <c r="F494" t="s">
        <v>628</v>
      </c>
      <c r="G494" t="s">
        <v>631</v>
      </c>
      <c r="H494">
        <v>8</v>
      </c>
      <c r="I494" s="35">
        <v>306446</v>
      </c>
      <c r="J494" s="35">
        <v>2451568</v>
      </c>
      <c r="K494" s="35">
        <v>1668395.0393375519</v>
      </c>
      <c r="L494" s="35">
        <v>147043.8684524858</v>
      </c>
      <c r="M494" s="35">
        <v>2304524.1315475139</v>
      </c>
      <c r="N494" s="35">
        <v>636129.09220996196</v>
      </c>
    </row>
    <row r="495" spans="1:14" x14ac:dyDescent="0.25">
      <c r="A495" t="s">
        <v>506</v>
      </c>
      <c r="B495" s="2">
        <v>45423</v>
      </c>
      <c r="C495" t="s">
        <v>615</v>
      </c>
      <c r="D495" t="s">
        <v>619</v>
      </c>
      <c r="E495" t="s">
        <v>624</v>
      </c>
      <c r="F495" t="s">
        <v>625</v>
      </c>
      <c r="G495" t="s">
        <v>631</v>
      </c>
      <c r="H495">
        <v>7</v>
      </c>
      <c r="I495" s="35">
        <v>498971</v>
      </c>
      <c r="J495" s="35">
        <v>3492797</v>
      </c>
      <c r="K495" s="35">
        <v>2355964.9050708339</v>
      </c>
      <c r="L495" s="35">
        <v>449030.53877584502</v>
      </c>
      <c r="M495" s="35">
        <v>3043766.461224155</v>
      </c>
      <c r="N495" s="35">
        <v>687801.55615332117</v>
      </c>
    </row>
    <row r="496" spans="1:14" x14ac:dyDescent="0.25">
      <c r="A496" t="s">
        <v>507</v>
      </c>
      <c r="B496" s="2">
        <v>45086</v>
      </c>
      <c r="C496" t="s">
        <v>613</v>
      </c>
      <c r="D496" t="s">
        <v>619</v>
      </c>
      <c r="E496" t="s">
        <v>624</v>
      </c>
      <c r="F496" t="s">
        <v>630</v>
      </c>
      <c r="G496" t="s">
        <v>632</v>
      </c>
      <c r="H496">
        <v>4</v>
      </c>
      <c r="I496" s="35">
        <v>325399</v>
      </c>
      <c r="J496" s="35">
        <v>1301596</v>
      </c>
      <c r="K496" s="35">
        <v>807560.31374455476</v>
      </c>
      <c r="L496" s="35">
        <v>156437.64777847141</v>
      </c>
      <c r="M496" s="35">
        <v>1145158.352221529</v>
      </c>
      <c r="N496" s="35">
        <v>337598.03847697424</v>
      </c>
    </row>
    <row r="497" spans="1:14" x14ac:dyDescent="0.25">
      <c r="A497" t="s">
        <v>508</v>
      </c>
      <c r="B497" s="2">
        <v>45401</v>
      </c>
      <c r="C497" t="s">
        <v>617</v>
      </c>
      <c r="D497" t="s">
        <v>618</v>
      </c>
      <c r="E497" t="s">
        <v>621</v>
      </c>
      <c r="F497" t="s">
        <v>627</v>
      </c>
      <c r="G497" t="s">
        <v>631</v>
      </c>
      <c r="H497">
        <v>4</v>
      </c>
      <c r="I497" s="35">
        <v>185639</v>
      </c>
      <c r="J497" s="35">
        <v>742556</v>
      </c>
      <c r="K497" s="35">
        <v>446591.9820044121</v>
      </c>
      <c r="L497" s="35">
        <v>103375.6555371549</v>
      </c>
      <c r="M497" s="35">
        <v>639180.34446284513</v>
      </c>
      <c r="N497" s="35">
        <v>192588.36245843302</v>
      </c>
    </row>
    <row r="498" spans="1:14" x14ac:dyDescent="0.25">
      <c r="A498" t="s">
        <v>509</v>
      </c>
      <c r="B498" s="2">
        <v>45590</v>
      </c>
      <c r="C498" t="s">
        <v>613</v>
      </c>
      <c r="D498" t="s">
        <v>618</v>
      </c>
      <c r="E498" t="s">
        <v>624</v>
      </c>
      <c r="F498" t="s">
        <v>629</v>
      </c>
      <c r="G498" t="s">
        <v>633</v>
      </c>
      <c r="H498">
        <v>2</v>
      </c>
      <c r="I498" s="35">
        <v>360991</v>
      </c>
      <c r="J498" s="35">
        <v>721982</v>
      </c>
      <c r="K498" s="35">
        <v>388460.39843469887</v>
      </c>
      <c r="L498" s="35">
        <v>52343.981559206193</v>
      </c>
      <c r="M498" s="35">
        <v>669638.01844079385</v>
      </c>
      <c r="N498" s="35">
        <v>281177.62000609498</v>
      </c>
    </row>
    <row r="499" spans="1:14" x14ac:dyDescent="0.25">
      <c r="A499" t="s">
        <v>510</v>
      </c>
      <c r="B499" s="2">
        <v>45616</v>
      </c>
      <c r="C499" t="s">
        <v>613</v>
      </c>
      <c r="D499" t="s">
        <v>618</v>
      </c>
      <c r="E499" t="s">
        <v>622</v>
      </c>
      <c r="F499" t="s">
        <v>626</v>
      </c>
      <c r="G499" t="s">
        <v>632</v>
      </c>
      <c r="H499">
        <v>1</v>
      </c>
      <c r="I499" s="35">
        <v>285889</v>
      </c>
      <c r="J499" s="35">
        <v>285889</v>
      </c>
      <c r="K499" s="35">
        <v>176542.95723463979</v>
      </c>
      <c r="L499" s="35">
        <v>47114.37293966303</v>
      </c>
      <c r="M499" s="35">
        <v>238774.62706033699</v>
      </c>
      <c r="N499" s="35">
        <v>62231.669825697201</v>
      </c>
    </row>
    <row r="500" spans="1:14" x14ac:dyDescent="0.25">
      <c r="A500" t="s">
        <v>511</v>
      </c>
      <c r="B500" s="2">
        <v>45601</v>
      </c>
      <c r="C500" t="s">
        <v>617</v>
      </c>
      <c r="D500" t="s">
        <v>619</v>
      </c>
      <c r="E500" t="s">
        <v>620</v>
      </c>
      <c r="F500" t="s">
        <v>630</v>
      </c>
      <c r="G500" t="s">
        <v>632</v>
      </c>
      <c r="H500">
        <v>9</v>
      </c>
      <c r="I500" s="35">
        <v>229075</v>
      </c>
      <c r="J500" s="35">
        <v>2061675</v>
      </c>
      <c r="K500" s="35">
        <v>1131443.6207947801</v>
      </c>
      <c r="L500" s="35">
        <v>84152.485762660421</v>
      </c>
      <c r="M500" s="35">
        <v>1977522.5142373401</v>
      </c>
      <c r="N500" s="35">
        <v>846078.89344255999</v>
      </c>
    </row>
    <row r="501" spans="1:14" x14ac:dyDescent="0.25">
      <c r="A501" t="s">
        <v>512</v>
      </c>
      <c r="B501" s="2">
        <v>45306</v>
      </c>
      <c r="C501" t="s">
        <v>613</v>
      </c>
      <c r="D501" t="s">
        <v>619</v>
      </c>
      <c r="E501" t="s">
        <v>624</v>
      </c>
      <c r="F501" t="s">
        <v>629</v>
      </c>
      <c r="G501" t="s">
        <v>633</v>
      </c>
      <c r="H501">
        <v>2</v>
      </c>
      <c r="I501" s="35">
        <v>70389</v>
      </c>
      <c r="J501" s="35">
        <v>140778</v>
      </c>
      <c r="K501" s="35">
        <v>101403.7593615665</v>
      </c>
      <c r="L501" s="35">
        <v>13206.12367082214</v>
      </c>
      <c r="M501" s="35">
        <v>127571.8763291779</v>
      </c>
      <c r="N501" s="35">
        <v>26168.116967611408</v>
      </c>
    </row>
    <row r="502" spans="1:14" x14ac:dyDescent="0.25">
      <c r="A502" t="s">
        <v>513</v>
      </c>
      <c r="B502" s="2">
        <v>45471</v>
      </c>
      <c r="C502" t="s">
        <v>617</v>
      </c>
      <c r="D502" t="s">
        <v>618</v>
      </c>
      <c r="E502" t="s">
        <v>622</v>
      </c>
      <c r="F502" t="s">
        <v>625</v>
      </c>
      <c r="G502" t="s">
        <v>632</v>
      </c>
      <c r="H502">
        <v>8</v>
      </c>
      <c r="I502" s="35">
        <v>225595</v>
      </c>
      <c r="J502" s="35">
        <v>1804760</v>
      </c>
      <c r="K502" s="35">
        <v>1015446.9157429649</v>
      </c>
      <c r="L502" s="35">
        <v>289100.43341782241</v>
      </c>
      <c r="M502" s="35">
        <v>1515659.566582178</v>
      </c>
      <c r="N502" s="35">
        <v>500212.65083921305</v>
      </c>
    </row>
    <row r="503" spans="1:14" x14ac:dyDescent="0.25">
      <c r="A503" t="s">
        <v>514</v>
      </c>
      <c r="B503" s="2">
        <v>45617</v>
      </c>
      <c r="C503" t="s">
        <v>615</v>
      </c>
      <c r="D503" t="s">
        <v>619</v>
      </c>
      <c r="E503" t="s">
        <v>623</v>
      </c>
      <c r="F503" t="s">
        <v>628</v>
      </c>
      <c r="G503" t="s">
        <v>631</v>
      </c>
      <c r="H503">
        <v>9</v>
      </c>
      <c r="I503" s="35">
        <v>435946</v>
      </c>
      <c r="J503" s="35">
        <v>3923514</v>
      </c>
      <c r="K503" s="35">
        <v>2030691.5385594431</v>
      </c>
      <c r="L503" s="35">
        <v>141370.99531999999</v>
      </c>
      <c r="M503" s="35">
        <v>3782143.0046799998</v>
      </c>
      <c r="N503" s="35">
        <v>1751451.4661205567</v>
      </c>
    </row>
    <row r="504" spans="1:14" x14ac:dyDescent="0.25">
      <c r="A504" t="s">
        <v>515</v>
      </c>
      <c r="B504" s="2">
        <v>45353</v>
      </c>
      <c r="C504" t="s">
        <v>617</v>
      </c>
      <c r="D504" t="s">
        <v>619</v>
      </c>
      <c r="E504" t="s">
        <v>622</v>
      </c>
      <c r="F504" t="s">
        <v>630</v>
      </c>
      <c r="G504" t="s">
        <v>631</v>
      </c>
      <c r="H504">
        <v>4</v>
      </c>
      <c r="I504" s="35">
        <v>373720</v>
      </c>
      <c r="J504" s="35">
        <v>1494880</v>
      </c>
      <c r="K504" s="35">
        <v>995156.32763006818</v>
      </c>
      <c r="L504" s="35">
        <v>32846.434293764323</v>
      </c>
      <c r="M504" s="35">
        <v>1462033.5657062361</v>
      </c>
      <c r="N504" s="35">
        <v>466877.23807616788</v>
      </c>
    </row>
    <row r="505" spans="1:14" x14ac:dyDescent="0.25">
      <c r="A505" t="s">
        <v>516</v>
      </c>
      <c r="B505" s="2">
        <v>45539</v>
      </c>
      <c r="C505" t="s">
        <v>617</v>
      </c>
      <c r="D505" t="s">
        <v>618</v>
      </c>
      <c r="E505" t="s">
        <v>620</v>
      </c>
      <c r="F505" t="s">
        <v>630</v>
      </c>
      <c r="G505" t="s">
        <v>633</v>
      </c>
      <c r="H505">
        <v>8</v>
      </c>
      <c r="I505" s="35">
        <v>356063</v>
      </c>
      <c r="J505" s="35">
        <v>2848504</v>
      </c>
      <c r="K505" s="35">
        <v>1932906.2823710439</v>
      </c>
      <c r="L505" s="35">
        <v>503435.46333902201</v>
      </c>
      <c r="M505" s="35">
        <v>2345068.5366609781</v>
      </c>
      <c r="N505" s="35">
        <v>412162.25428993418</v>
      </c>
    </row>
    <row r="506" spans="1:14" x14ac:dyDescent="0.25">
      <c r="A506" t="s">
        <v>517</v>
      </c>
      <c r="B506" s="2">
        <v>45194</v>
      </c>
      <c r="C506" t="s">
        <v>614</v>
      </c>
      <c r="D506" t="s">
        <v>618</v>
      </c>
      <c r="E506" t="s">
        <v>622</v>
      </c>
      <c r="F506" t="s">
        <v>625</v>
      </c>
      <c r="G506" t="s">
        <v>631</v>
      </c>
      <c r="H506">
        <v>9</v>
      </c>
      <c r="I506" s="35">
        <v>263175</v>
      </c>
      <c r="J506" s="35">
        <v>2368575</v>
      </c>
      <c r="K506" s="35">
        <v>1803844.943736742</v>
      </c>
      <c r="L506" s="35">
        <v>162450.92519397251</v>
      </c>
      <c r="M506" s="35">
        <v>2206124.074806028</v>
      </c>
      <c r="N506" s="35">
        <v>402279.13106928603</v>
      </c>
    </row>
    <row r="507" spans="1:14" x14ac:dyDescent="0.25">
      <c r="A507" t="s">
        <v>518</v>
      </c>
      <c r="B507" s="2">
        <v>45503</v>
      </c>
      <c r="C507" t="s">
        <v>617</v>
      </c>
      <c r="D507" t="s">
        <v>618</v>
      </c>
      <c r="E507" t="s">
        <v>621</v>
      </c>
      <c r="F507" t="s">
        <v>626</v>
      </c>
      <c r="G507" t="s">
        <v>633</v>
      </c>
      <c r="H507">
        <v>5</v>
      </c>
      <c r="I507" s="35">
        <v>53358</v>
      </c>
      <c r="J507" s="35">
        <v>266790</v>
      </c>
      <c r="K507" s="35">
        <v>179574.87731307399</v>
      </c>
      <c r="L507" s="35">
        <v>36489.94212489613</v>
      </c>
      <c r="M507" s="35">
        <v>230300.0578751039</v>
      </c>
      <c r="N507" s="35">
        <v>50725.180562029913</v>
      </c>
    </row>
    <row r="508" spans="1:14" x14ac:dyDescent="0.25">
      <c r="A508" t="s">
        <v>519</v>
      </c>
      <c r="B508" s="2">
        <v>45343</v>
      </c>
      <c r="C508" t="s">
        <v>617</v>
      </c>
      <c r="D508" t="s">
        <v>618</v>
      </c>
      <c r="E508" t="s">
        <v>620</v>
      </c>
      <c r="F508" t="s">
        <v>627</v>
      </c>
      <c r="G508" t="s">
        <v>633</v>
      </c>
      <c r="H508">
        <v>7</v>
      </c>
      <c r="I508" s="35">
        <v>400679</v>
      </c>
      <c r="J508" s="35">
        <v>2804753</v>
      </c>
      <c r="K508" s="35">
        <v>1693073.038277019</v>
      </c>
      <c r="L508" s="35">
        <v>14219.31477101885</v>
      </c>
      <c r="M508" s="35">
        <v>2790533.6852289811</v>
      </c>
      <c r="N508" s="35">
        <v>1097460.646951962</v>
      </c>
    </row>
    <row r="509" spans="1:14" x14ac:dyDescent="0.25">
      <c r="A509" t="s">
        <v>520</v>
      </c>
      <c r="B509" s="2">
        <v>45094</v>
      </c>
      <c r="C509" t="s">
        <v>615</v>
      </c>
      <c r="D509" t="s">
        <v>619</v>
      </c>
      <c r="E509" t="s">
        <v>623</v>
      </c>
      <c r="F509" t="s">
        <v>628</v>
      </c>
      <c r="G509" t="s">
        <v>631</v>
      </c>
      <c r="H509">
        <v>4</v>
      </c>
      <c r="I509" s="35">
        <v>302557</v>
      </c>
      <c r="J509" s="35">
        <v>1210228</v>
      </c>
      <c r="K509" s="35">
        <v>896662.23900675075</v>
      </c>
      <c r="L509" s="35">
        <v>167022.8131331983</v>
      </c>
      <c r="M509" s="35">
        <v>1043205.186866802</v>
      </c>
      <c r="N509" s="35">
        <v>146542.9478600513</v>
      </c>
    </row>
    <row r="510" spans="1:14" x14ac:dyDescent="0.25">
      <c r="A510" t="s">
        <v>521</v>
      </c>
      <c r="B510" s="2">
        <v>44969</v>
      </c>
      <c r="C510" t="s">
        <v>614</v>
      </c>
      <c r="D510" t="s">
        <v>619</v>
      </c>
      <c r="E510" t="s">
        <v>621</v>
      </c>
      <c r="F510" t="s">
        <v>630</v>
      </c>
      <c r="G510" t="s">
        <v>633</v>
      </c>
      <c r="H510">
        <v>1</v>
      </c>
      <c r="I510" s="35">
        <v>257596</v>
      </c>
      <c r="J510" s="35">
        <v>257596</v>
      </c>
      <c r="K510" s="35">
        <v>170550.10453085211</v>
      </c>
      <c r="L510" s="35">
        <v>16285.28668985068</v>
      </c>
      <c r="M510" s="35">
        <v>241310.71331014929</v>
      </c>
      <c r="N510" s="35">
        <v>70760.608779297181</v>
      </c>
    </row>
    <row r="511" spans="1:14" x14ac:dyDescent="0.25">
      <c r="A511" t="s">
        <v>522</v>
      </c>
      <c r="B511" s="2">
        <v>45482</v>
      </c>
      <c r="C511" t="s">
        <v>616</v>
      </c>
      <c r="D511" t="s">
        <v>618</v>
      </c>
      <c r="E511" t="s">
        <v>622</v>
      </c>
      <c r="F511" t="s">
        <v>628</v>
      </c>
      <c r="G511" t="s">
        <v>631</v>
      </c>
      <c r="H511">
        <v>3</v>
      </c>
      <c r="I511" s="35">
        <v>304488</v>
      </c>
      <c r="J511" s="35">
        <v>913464</v>
      </c>
      <c r="K511" s="35">
        <v>478457.90577610407</v>
      </c>
      <c r="L511" s="35">
        <v>10183.452616279779</v>
      </c>
      <c r="M511" s="35">
        <v>903280.54738372017</v>
      </c>
      <c r="N511" s="35">
        <v>424822.6416076161</v>
      </c>
    </row>
    <row r="512" spans="1:14" x14ac:dyDescent="0.25">
      <c r="A512" t="s">
        <v>523</v>
      </c>
      <c r="B512" s="2">
        <v>45211</v>
      </c>
      <c r="C512" t="s">
        <v>615</v>
      </c>
      <c r="D512" t="s">
        <v>619</v>
      </c>
      <c r="E512" t="s">
        <v>620</v>
      </c>
      <c r="F512" t="s">
        <v>630</v>
      </c>
      <c r="G512" t="s">
        <v>632</v>
      </c>
      <c r="H512">
        <v>5</v>
      </c>
      <c r="I512" s="35">
        <v>155982</v>
      </c>
      <c r="J512" s="35">
        <v>779910</v>
      </c>
      <c r="K512" s="35">
        <v>522348.75314817129</v>
      </c>
      <c r="L512" s="35">
        <v>95119.814171798396</v>
      </c>
      <c r="M512" s="35">
        <v>684790.18582820159</v>
      </c>
      <c r="N512" s="35">
        <v>162441.4326800303</v>
      </c>
    </row>
    <row r="513" spans="1:14" x14ac:dyDescent="0.25">
      <c r="A513" t="s">
        <v>524</v>
      </c>
      <c r="B513" s="2">
        <v>45323</v>
      </c>
      <c r="C513" t="s">
        <v>615</v>
      </c>
      <c r="D513" t="s">
        <v>618</v>
      </c>
      <c r="E513" t="s">
        <v>623</v>
      </c>
      <c r="F513" t="s">
        <v>628</v>
      </c>
      <c r="G513" t="s">
        <v>632</v>
      </c>
      <c r="H513">
        <v>3</v>
      </c>
      <c r="I513" s="35">
        <v>278129</v>
      </c>
      <c r="J513" s="35">
        <v>834387</v>
      </c>
      <c r="K513" s="35">
        <v>644485.1610176235</v>
      </c>
      <c r="L513" s="35">
        <v>40184.714736369373</v>
      </c>
      <c r="M513" s="35">
        <v>794202.28526363068</v>
      </c>
      <c r="N513" s="35">
        <v>149717.12424600718</v>
      </c>
    </row>
    <row r="514" spans="1:14" x14ac:dyDescent="0.25">
      <c r="A514" t="s">
        <v>525</v>
      </c>
      <c r="B514" s="2">
        <v>44938</v>
      </c>
      <c r="C514" t="s">
        <v>616</v>
      </c>
      <c r="D514" t="s">
        <v>618</v>
      </c>
      <c r="E514" t="s">
        <v>621</v>
      </c>
      <c r="F514" t="s">
        <v>629</v>
      </c>
      <c r="G514" t="s">
        <v>633</v>
      </c>
      <c r="H514">
        <v>7</v>
      </c>
      <c r="I514" s="35">
        <v>317842</v>
      </c>
      <c r="J514" s="35">
        <v>2224894</v>
      </c>
      <c r="K514" s="35">
        <v>1376973.074778571</v>
      </c>
      <c r="L514" s="35">
        <v>172121.02239955511</v>
      </c>
      <c r="M514" s="35">
        <v>2052772.977600445</v>
      </c>
      <c r="N514" s="35">
        <v>675799.90282187401</v>
      </c>
    </row>
    <row r="515" spans="1:14" x14ac:dyDescent="0.25">
      <c r="A515" t="s">
        <v>526</v>
      </c>
      <c r="B515" s="2">
        <v>45533</v>
      </c>
      <c r="C515" t="s">
        <v>617</v>
      </c>
      <c r="D515" t="s">
        <v>619</v>
      </c>
      <c r="E515" t="s">
        <v>623</v>
      </c>
      <c r="F515" t="s">
        <v>630</v>
      </c>
      <c r="G515" t="s">
        <v>631</v>
      </c>
      <c r="H515">
        <v>9</v>
      </c>
      <c r="I515" s="35">
        <v>378953</v>
      </c>
      <c r="J515" s="35">
        <v>3410577</v>
      </c>
      <c r="K515" s="35">
        <v>2008481.0893398039</v>
      </c>
      <c r="L515" s="35">
        <v>54965.413005140137</v>
      </c>
      <c r="M515" s="35">
        <v>3355611.5869948599</v>
      </c>
      <c r="N515" s="35">
        <v>1347130.497655056</v>
      </c>
    </row>
    <row r="516" spans="1:14" x14ac:dyDescent="0.25">
      <c r="A516" t="s">
        <v>527</v>
      </c>
      <c r="B516" s="2">
        <v>45228</v>
      </c>
      <c r="C516" t="s">
        <v>613</v>
      </c>
      <c r="D516" t="s">
        <v>618</v>
      </c>
      <c r="E516" t="s">
        <v>622</v>
      </c>
      <c r="F516" t="s">
        <v>628</v>
      </c>
      <c r="G516" t="s">
        <v>631</v>
      </c>
      <c r="H516">
        <v>6</v>
      </c>
      <c r="I516" s="35">
        <v>143079</v>
      </c>
      <c r="J516" s="35">
        <v>858474</v>
      </c>
      <c r="K516" s="35">
        <v>466186.43959322642</v>
      </c>
      <c r="L516" s="35">
        <v>25267.164964096421</v>
      </c>
      <c r="M516" s="35">
        <v>833206.83503590361</v>
      </c>
      <c r="N516" s="35">
        <v>367020.3954426772</v>
      </c>
    </row>
    <row r="517" spans="1:14" x14ac:dyDescent="0.25">
      <c r="A517" t="s">
        <v>528</v>
      </c>
      <c r="B517" s="2">
        <v>45179</v>
      </c>
      <c r="C517" t="s">
        <v>614</v>
      </c>
      <c r="D517" t="s">
        <v>619</v>
      </c>
      <c r="E517" t="s">
        <v>623</v>
      </c>
      <c r="F517" t="s">
        <v>627</v>
      </c>
      <c r="G517" t="s">
        <v>632</v>
      </c>
      <c r="H517">
        <v>1</v>
      </c>
      <c r="I517" s="35">
        <v>105805</v>
      </c>
      <c r="J517" s="35">
        <v>105805</v>
      </c>
      <c r="K517" s="35">
        <v>57709.60803451114</v>
      </c>
      <c r="L517" s="35">
        <v>6305.4962803275503</v>
      </c>
      <c r="M517" s="35">
        <v>99499.503719672444</v>
      </c>
      <c r="N517" s="35">
        <v>41789.895685161304</v>
      </c>
    </row>
    <row r="518" spans="1:14" x14ac:dyDescent="0.25">
      <c r="A518" t="s">
        <v>529</v>
      </c>
      <c r="B518" s="2">
        <v>45425</v>
      </c>
      <c r="C518" t="s">
        <v>613</v>
      </c>
      <c r="D518" t="s">
        <v>619</v>
      </c>
      <c r="E518" t="s">
        <v>624</v>
      </c>
      <c r="F518" t="s">
        <v>629</v>
      </c>
      <c r="G518" t="s">
        <v>632</v>
      </c>
      <c r="H518">
        <v>7</v>
      </c>
      <c r="I518" s="35">
        <v>212421</v>
      </c>
      <c r="J518" s="35">
        <v>1486947</v>
      </c>
      <c r="K518" s="35">
        <v>936525.97809828434</v>
      </c>
      <c r="L518" s="35">
        <v>26693.524015884799</v>
      </c>
      <c r="M518" s="35">
        <v>1460253.4759841149</v>
      </c>
      <c r="N518" s="35">
        <v>523727.49788583058</v>
      </c>
    </row>
    <row r="519" spans="1:14" x14ac:dyDescent="0.25">
      <c r="A519" t="s">
        <v>530</v>
      </c>
      <c r="B519" s="2">
        <v>44961</v>
      </c>
      <c r="C519" t="s">
        <v>616</v>
      </c>
      <c r="D519" t="s">
        <v>619</v>
      </c>
      <c r="E519" t="s">
        <v>621</v>
      </c>
      <c r="F519" t="s">
        <v>629</v>
      </c>
      <c r="G519" t="s">
        <v>631</v>
      </c>
      <c r="H519">
        <v>3</v>
      </c>
      <c r="I519" s="35">
        <v>257849</v>
      </c>
      <c r="J519" s="35">
        <v>773547</v>
      </c>
      <c r="K519" s="35">
        <v>525009.40228220355</v>
      </c>
      <c r="L519" s="35">
        <v>140913.38491386099</v>
      </c>
      <c r="M519" s="35">
        <v>632633.61508613895</v>
      </c>
      <c r="N519" s="35">
        <v>107624.2128039354</v>
      </c>
    </row>
    <row r="520" spans="1:14" x14ac:dyDescent="0.25">
      <c r="A520" t="s">
        <v>531</v>
      </c>
      <c r="B520" s="2">
        <v>45653</v>
      </c>
      <c r="C520" t="s">
        <v>615</v>
      </c>
      <c r="D520" t="s">
        <v>619</v>
      </c>
      <c r="E520" t="s">
        <v>623</v>
      </c>
      <c r="F520" t="s">
        <v>627</v>
      </c>
      <c r="G520" t="s">
        <v>633</v>
      </c>
      <c r="H520">
        <v>5</v>
      </c>
      <c r="I520" s="35">
        <v>493464</v>
      </c>
      <c r="J520" s="35">
        <v>2467320</v>
      </c>
      <c r="K520" s="35">
        <v>1293331.2004449191</v>
      </c>
      <c r="L520" s="35">
        <v>2983.9981177387258</v>
      </c>
      <c r="M520" s="35">
        <v>2464336.0018822611</v>
      </c>
      <c r="N520" s="35">
        <v>1171004.8014373421</v>
      </c>
    </row>
    <row r="521" spans="1:14" x14ac:dyDescent="0.25">
      <c r="A521" t="s">
        <v>532</v>
      </c>
      <c r="B521" s="2">
        <v>45016</v>
      </c>
      <c r="C521" t="s">
        <v>615</v>
      </c>
      <c r="D521" t="s">
        <v>618</v>
      </c>
      <c r="E521" t="s">
        <v>622</v>
      </c>
      <c r="F521" t="s">
        <v>628</v>
      </c>
      <c r="G521" t="s">
        <v>632</v>
      </c>
      <c r="H521">
        <v>4</v>
      </c>
      <c r="I521" s="35">
        <v>387177</v>
      </c>
      <c r="J521" s="35">
        <v>1548708</v>
      </c>
      <c r="K521" s="35">
        <v>1210889.2171115959</v>
      </c>
      <c r="L521" s="35">
        <v>149871.63836738199</v>
      </c>
      <c r="M521" s="35">
        <v>1398836.3616326179</v>
      </c>
      <c r="N521" s="35">
        <v>187947.14452102198</v>
      </c>
    </row>
    <row r="522" spans="1:14" x14ac:dyDescent="0.25">
      <c r="A522" t="s">
        <v>533</v>
      </c>
      <c r="B522" s="2">
        <v>45531</v>
      </c>
      <c r="C522" t="s">
        <v>614</v>
      </c>
      <c r="D522" t="s">
        <v>619</v>
      </c>
      <c r="E522" t="s">
        <v>622</v>
      </c>
      <c r="F522" t="s">
        <v>625</v>
      </c>
      <c r="G522" t="s">
        <v>633</v>
      </c>
      <c r="H522">
        <v>5</v>
      </c>
      <c r="I522" s="35">
        <v>288483</v>
      </c>
      <c r="J522" s="35">
        <v>1442415</v>
      </c>
      <c r="K522" s="35">
        <v>1047972.317042164</v>
      </c>
      <c r="L522" s="35">
        <v>35554.79646445284</v>
      </c>
      <c r="M522" s="35">
        <v>1406860.203535547</v>
      </c>
      <c r="N522" s="35">
        <v>358887.88649338298</v>
      </c>
    </row>
    <row r="523" spans="1:14" x14ac:dyDescent="0.25">
      <c r="A523" t="s">
        <v>534</v>
      </c>
      <c r="B523" s="2">
        <v>45528</v>
      </c>
      <c r="C523" t="s">
        <v>615</v>
      </c>
      <c r="D523" t="s">
        <v>618</v>
      </c>
      <c r="E523" t="s">
        <v>623</v>
      </c>
      <c r="F523" t="s">
        <v>627</v>
      </c>
      <c r="G523" t="s">
        <v>633</v>
      </c>
      <c r="H523">
        <v>5</v>
      </c>
      <c r="I523" s="35">
        <v>410383</v>
      </c>
      <c r="J523" s="35">
        <v>2051915</v>
      </c>
      <c r="K523" s="35">
        <v>1387068.225185507</v>
      </c>
      <c r="L523" s="35">
        <v>126266.2677772289</v>
      </c>
      <c r="M523" s="35">
        <v>1925648.732222771</v>
      </c>
      <c r="N523" s="35">
        <v>538580.50703726406</v>
      </c>
    </row>
    <row r="524" spans="1:14" x14ac:dyDescent="0.25">
      <c r="A524" t="s">
        <v>535</v>
      </c>
      <c r="B524" s="2">
        <v>45344</v>
      </c>
      <c r="C524" t="s">
        <v>615</v>
      </c>
      <c r="D524" t="s">
        <v>618</v>
      </c>
      <c r="E524" t="s">
        <v>622</v>
      </c>
      <c r="F524" t="s">
        <v>628</v>
      </c>
      <c r="G524" t="s">
        <v>632</v>
      </c>
      <c r="H524">
        <v>6</v>
      </c>
      <c r="I524" s="35">
        <v>442551</v>
      </c>
      <c r="J524" s="35">
        <v>2655306</v>
      </c>
      <c r="K524" s="35">
        <v>1987580.4520728979</v>
      </c>
      <c r="L524" s="35">
        <v>491794.30110855988</v>
      </c>
      <c r="M524" s="35">
        <v>2163511.6988914399</v>
      </c>
      <c r="N524" s="35">
        <v>175931.24681854201</v>
      </c>
    </row>
    <row r="525" spans="1:14" x14ac:dyDescent="0.25">
      <c r="A525" t="s">
        <v>536</v>
      </c>
      <c r="B525" s="2">
        <v>45041</v>
      </c>
      <c r="C525" t="s">
        <v>614</v>
      </c>
      <c r="D525" t="s">
        <v>618</v>
      </c>
      <c r="E525" t="s">
        <v>620</v>
      </c>
      <c r="F525" t="s">
        <v>627</v>
      </c>
      <c r="G525" t="s">
        <v>633</v>
      </c>
      <c r="H525">
        <v>6</v>
      </c>
      <c r="I525" s="35">
        <v>94041</v>
      </c>
      <c r="J525" s="35">
        <v>564246</v>
      </c>
      <c r="K525" s="35">
        <v>295696.51703526231</v>
      </c>
      <c r="L525" s="35">
        <v>18247.100981326799</v>
      </c>
      <c r="M525" s="35">
        <v>545998.89901867323</v>
      </c>
      <c r="N525" s="35">
        <v>250302.38198341092</v>
      </c>
    </row>
    <row r="526" spans="1:14" x14ac:dyDescent="0.25">
      <c r="A526" t="s">
        <v>537</v>
      </c>
      <c r="B526" s="2">
        <v>45543</v>
      </c>
      <c r="C526" t="s">
        <v>614</v>
      </c>
      <c r="D526" t="s">
        <v>618</v>
      </c>
      <c r="E526" t="s">
        <v>620</v>
      </c>
      <c r="F526" t="s">
        <v>627</v>
      </c>
      <c r="G526" t="s">
        <v>633</v>
      </c>
      <c r="H526">
        <v>8</v>
      </c>
      <c r="I526" s="35">
        <v>344098</v>
      </c>
      <c r="J526" s="35">
        <v>2752784</v>
      </c>
      <c r="K526" s="35">
        <v>1770182.3299605099</v>
      </c>
      <c r="L526" s="35">
        <v>531745.55128070212</v>
      </c>
      <c r="M526" s="35">
        <v>2221038.448719298</v>
      </c>
      <c r="N526" s="35">
        <v>450856.1187587881</v>
      </c>
    </row>
    <row r="527" spans="1:14" x14ac:dyDescent="0.25">
      <c r="A527" t="s">
        <v>538</v>
      </c>
      <c r="B527" s="2">
        <v>45122</v>
      </c>
      <c r="C527" t="s">
        <v>616</v>
      </c>
      <c r="D527" t="s">
        <v>619</v>
      </c>
      <c r="E527" t="s">
        <v>620</v>
      </c>
      <c r="F527" t="s">
        <v>630</v>
      </c>
      <c r="G527" t="s">
        <v>631</v>
      </c>
      <c r="H527">
        <v>8</v>
      </c>
      <c r="I527" s="35">
        <v>320146</v>
      </c>
      <c r="J527" s="35">
        <v>2561168</v>
      </c>
      <c r="K527" s="35">
        <v>1764716.3060614101</v>
      </c>
      <c r="L527" s="35">
        <v>105414.7945850487</v>
      </c>
      <c r="M527" s="35">
        <v>2455753.2054149508</v>
      </c>
      <c r="N527" s="35">
        <v>691036.89935354074</v>
      </c>
    </row>
    <row r="528" spans="1:14" x14ac:dyDescent="0.25">
      <c r="A528" t="s">
        <v>539</v>
      </c>
      <c r="B528" s="2">
        <v>45427</v>
      </c>
      <c r="C528" t="s">
        <v>615</v>
      </c>
      <c r="D528" t="s">
        <v>619</v>
      </c>
      <c r="E528" t="s">
        <v>624</v>
      </c>
      <c r="F528" t="s">
        <v>628</v>
      </c>
      <c r="G528" t="s">
        <v>633</v>
      </c>
      <c r="H528">
        <v>9</v>
      </c>
      <c r="I528" s="35">
        <v>381927</v>
      </c>
      <c r="J528" s="35">
        <v>3437343</v>
      </c>
      <c r="K528" s="35">
        <v>2573180.779882608</v>
      </c>
      <c r="L528" s="35">
        <v>509803.41439513949</v>
      </c>
      <c r="M528" s="35">
        <v>2927539.58560486</v>
      </c>
      <c r="N528" s="35">
        <v>354358.805722252</v>
      </c>
    </row>
    <row r="529" spans="1:14" x14ac:dyDescent="0.25">
      <c r="A529" t="s">
        <v>540</v>
      </c>
      <c r="B529" s="2">
        <v>45552</v>
      </c>
      <c r="C529" t="s">
        <v>615</v>
      </c>
      <c r="D529" t="s">
        <v>618</v>
      </c>
      <c r="E529" t="s">
        <v>623</v>
      </c>
      <c r="F529" t="s">
        <v>625</v>
      </c>
      <c r="G529" t="s">
        <v>631</v>
      </c>
      <c r="H529">
        <v>8</v>
      </c>
      <c r="I529" s="35">
        <v>157524</v>
      </c>
      <c r="J529" s="35">
        <v>1260192</v>
      </c>
      <c r="K529" s="35">
        <v>926292.62154528219</v>
      </c>
      <c r="L529" s="35">
        <v>137783.66316109459</v>
      </c>
      <c r="M529" s="35">
        <v>1122408.336838905</v>
      </c>
      <c r="N529" s="35">
        <v>196115.71529362281</v>
      </c>
    </row>
    <row r="530" spans="1:14" x14ac:dyDescent="0.25">
      <c r="A530" t="s">
        <v>541</v>
      </c>
      <c r="B530" s="2">
        <v>45419</v>
      </c>
      <c r="C530" t="s">
        <v>616</v>
      </c>
      <c r="D530" t="s">
        <v>618</v>
      </c>
      <c r="E530" t="s">
        <v>624</v>
      </c>
      <c r="F530" t="s">
        <v>630</v>
      </c>
      <c r="G530" t="s">
        <v>632</v>
      </c>
      <c r="H530">
        <v>2</v>
      </c>
      <c r="I530" s="35">
        <v>268306</v>
      </c>
      <c r="J530" s="35">
        <v>536612</v>
      </c>
      <c r="K530" s="35">
        <v>312909.60526816198</v>
      </c>
      <c r="L530" s="35">
        <v>94924.379794630426</v>
      </c>
      <c r="M530" s="35">
        <v>441687.62020536949</v>
      </c>
      <c r="N530" s="35">
        <v>128778.01493720751</v>
      </c>
    </row>
    <row r="531" spans="1:14" x14ac:dyDescent="0.25">
      <c r="A531" t="s">
        <v>542</v>
      </c>
      <c r="B531" s="2">
        <v>45001</v>
      </c>
      <c r="C531" t="s">
        <v>617</v>
      </c>
      <c r="D531" t="s">
        <v>619</v>
      </c>
      <c r="E531" t="s">
        <v>622</v>
      </c>
      <c r="F531" t="s">
        <v>627</v>
      </c>
      <c r="G531" t="s">
        <v>632</v>
      </c>
      <c r="H531">
        <v>1</v>
      </c>
      <c r="I531" s="35">
        <v>437001</v>
      </c>
      <c r="J531" s="35">
        <v>437001</v>
      </c>
      <c r="K531" s="35">
        <v>341850.17249326262</v>
      </c>
      <c r="L531" s="35">
        <v>48419.121329624752</v>
      </c>
      <c r="M531" s="35">
        <v>388581.87867037533</v>
      </c>
      <c r="N531" s="35">
        <v>46731.706177112705</v>
      </c>
    </row>
    <row r="532" spans="1:14" x14ac:dyDescent="0.25">
      <c r="A532" t="s">
        <v>543</v>
      </c>
      <c r="B532" s="2">
        <v>45339</v>
      </c>
      <c r="C532" t="s">
        <v>617</v>
      </c>
      <c r="D532" t="s">
        <v>618</v>
      </c>
      <c r="E532" t="s">
        <v>624</v>
      </c>
      <c r="F532" t="s">
        <v>626</v>
      </c>
      <c r="G532" t="s">
        <v>631</v>
      </c>
      <c r="H532">
        <v>2</v>
      </c>
      <c r="I532" s="35">
        <v>69738</v>
      </c>
      <c r="J532" s="35">
        <v>139476</v>
      </c>
      <c r="K532" s="35">
        <v>74940.97817382362</v>
      </c>
      <c r="L532" s="35">
        <v>14911.636330209059</v>
      </c>
      <c r="M532" s="35">
        <v>124564.3636697909</v>
      </c>
      <c r="N532" s="35">
        <v>49623.385495967275</v>
      </c>
    </row>
    <row r="533" spans="1:14" x14ac:dyDescent="0.25">
      <c r="A533" t="s">
        <v>544</v>
      </c>
      <c r="B533" s="2">
        <v>45302</v>
      </c>
      <c r="C533" t="s">
        <v>617</v>
      </c>
      <c r="D533" t="s">
        <v>619</v>
      </c>
      <c r="E533" t="s">
        <v>622</v>
      </c>
      <c r="F533" t="s">
        <v>627</v>
      </c>
      <c r="G533" t="s">
        <v>632</v>
      </c>
      <c r="H533">
        <v>2</v>
      </c>
      <c r="I533" s="35">
        <v>322847</v>
      </c>
      <c r="J533" s="35">
        <v>645694</v>
      </c>
      <c r="K533" s="35">
        <v>492367.55802258989</v>
      </c>
      <c r="L533" s="35">
        <v>25241.211617974721</v>
      </c>
      <c r="M533" s="35">
        <v>620452.78838202532</v>
      </c>
      <c r="N533" s="35">
        <v>128085.23035943543</v>
      </c>
    </row>
    <row r="534" spans="1:14" x14ac:dyDescent="0.25">
      <c r="A534" t="s">
        <v>545</v>
      </c>
      <c r="B534" s="2">
        <v>45346</v>
      </c>
      <c r="C534" t="s">
        <v>616</v>
      </c>
      <c r="D534" t="s">
        <v>618</v>
      </c>
      <c r="E534" t="s">
        <v>622</v>
      </c>
      <c r="F534" t="s">
        <v>627</v>
      </c>
      <c r="G534" t="s">
        <v>633</v>
      </c>
      <c r="H534">
        <v>3</v>
      </c>
      <c r="I534" s="35">
        <v>163776</v>
      </c>
      <c r="J534" s="35">
        <v>491328</v>
      </c>
      <c r="K534" s="35">
        <v>388779.03928732139</v>
      </c>
      <c r="L534" s="35">
        <v>16334.627999623481</v>
      </c>
      <c r="M534" s="35">
        <v>474993.37200037652</v>
      </c>
      <c r="N534" s="35">
        <v>86214.332713055133</v>
      </c>
    </row>
    <row r="535" spans="1:14" x14ac:dyDescent="0.25">
      <c r="A535" t="s">
        <v>546</v>
      </c>
      <c r="B535" s="2">
        <v>45655</v>
      </c>
      <c r="C535" t="s">
        <v>615</v>
      </c>
      <c r="D535" t="s">
        <v>619</v>
      </c>
      <c r="E535" t="s">
        <v>621</v>
      </c>
      <c r="F535" t="s">
        <v>628</v>
      </c>
      <c r="G535" t="s">
        <v>633</v>
      </c>
      <c r="H535">
        <v>7</v>
      </c>
      <c r="I535" s="35">
        <v>230494</v>
      </c>
      <c r="J535" s="35">
        <v>1613458</v>
      </c>
      <c r="K535" s="35">
        <v>892477.93078151927</v>
      </c>
      <c r="L535" s="35">
        <v>295743.35055610712</v>
      </c>
      <c r="M535" s="35">
        <v>1317714.649443893</v>
      </c>
      <c r="N535" s="35">
        <v>425236.71866237372</v>
      </c>
    </row>
    <row r="536" spans="1:14" x14ac:dyDescent="0.25">
      <c r="A536" t="s">
        <v>547</v>
      </c>
      <c r="B536" s="2">
        <v>45203</v>
      </c>
      <c r="C536" t="s">
        <v>616</v>
      </c>
      <c r="D536" t="s">
        <v>618</v>
      </c>
      <c r="E536" t="s">
        <v>620</v>
      </c>
      <c r="F536" t="s">
        <v>628</v>
      </c>
      <c r="G536" t="s">
        <v>633</v>
      </c>
      <c r="H536">
        <v>2</v>
      </c>
      <c r="I536" s="35">
        <v>242971</v>
      </c>
      <c r="J536" s="35">
        <v>485942</v>
      </c>
      <c r="K536" s="35">
        <v>348235.66821139469</v>
      </c>
      <c r="L536" s="35">
        <v>31862.07000511665</v>
      </c>
      <c r="M536" s="35">
        <v>454079.92999488342</v>
      </c>
      <c r="N536" s="35">
        <v>105844.26178348874</v>
      </c>
    </row>
    <row r="537" spans="1:14" x14ac:dyDescent="0.25">
      <c r="A537" t="s">
        <v>548</v>
      </c>
      <c r="B537" s="2">
        <v>45602</v>
      </c>
      <c r="C537" t="s">
        <v>616</v>
      </c>
      <c r="D537" t="s">
        <v>618</v>
      </c>
      <c r="E537" t="s">
        <v>622</v>
      </c>
      <c r="F537" t="s">
        <v>630</v>
      </c>
      <c r="G537" t="s">
        <v>632</v>
      </c>
      <c r="H537">
        <v>1</v>
      </c>
      <c r="I537" s="35">
        <v>455608</v>
      </c>
      <c r="J537" s="35">
        <v>455608</v>
      </c>
      <c r="K537" s="35">
        <v>233310.3213918219</v>
      </c>
      <c r="L537" s="35">
        <v>33904.730403827023</v>
      </c>
      <c r="M537" s="35">
        <v>421703.26959617302</v>
      </c>
      <c r="N537" s="35">
        <v>188392.94820435112</v>
      </c>
    </row>
    <row r="538" spans="1:14" x14ac:dyDescent="0.25">
      <c r="A538" t="s">
        <v>549</v>
      </c>
      <c r="B538" s="2">
        <v>45320</v>
      </c>
      <c r="C538" t="s">
        <v>617</v>
      </c>
      <c r="D538" t="s">
        <v>619</v>
      </c>
      <c r="E538" t="s">
        <v>621</v>
      </c>
      <c r="F538" t="s">
        <v>625</v>
      </c>
      <c r="G538" t="s">
        <v>633</v>
      </c>
      <c r="H538">
        <v>6</v>
      </c>
      <c r="I538" s="35">
        <v>356868</v>
      </c>
      <c r="J538" s="35">
        <v>2141208</v>
      </c>
      <c r="K538" s="35">
        <v>1331032.3789711681</v>
      </c>
      <c r="L538" s="35">
        <v>325388.09920322662</v>
      </c>
      <c r="M538" s="35">
        <v>1815819.9007967729</v>
      </c>
      <c r="N538" s="35">
        <v>484787.52182560484</v>
      </c>
    </row>
    <row r="539" spans="1:14" x14ac:dyDescent="0.25">
      <c r="A539" t="s">
        <v>550</v>
      </c>
      <c r="B539" s="2">
        <v>45383</v>
      </c>
      <c r="C539" t="s">
        <v>613</v>
      </c>
      <c r="D539" t="s">
        <v>618</v>
      </c>
      <c r="E539" t="s">
        <v>620</v>
      </c>
      <c r="F539" t="s">
        <v>630</v>
      </c>
      <c r="G539" t="s">
        <v>632</v>
      </c>
      <c r="H539">
        <v>9</v>
      </c>
      <c r="I539" s="35">
        <v>344443</v>
      </c>
      <c r="J539" s="35">
        <v>3099987</v>
      </c>
      <c r="K539" s="35">
        <v>2030134.95474897</v>
      </c>
      <c r="L539" s="35">
        <v>210069.67816108631</v>
      </c>
      <c r="M539" s="35">
        <v>2889917.321838913</v>
      </c>
      <c r="N539" s="35">
        <v>859782.36708994303</v>
      </c>
    </row>
    <row r="540" spans="1:14" x14ac:dyDescent="0.25">
      <c r="A540" t="s">
        <v>551</v>
      </c>
      <c r="B540" s="2">
        <v>45118</v>
      </c>
      <c r="C540" t="s">
        <v>615</v>
      </c>
      <c r="D540" t="s">
        <v>618</v>
      </c>
      <c r="E540" t="s">
        <v>622</v>
      </c>
      <c r="F540" t="s">
        <v>629</v>
      </c>
      <c r="G540" t="s">
        <v>633</v>
      </c>
      <c r="H540">
        <v>3</v>
      </c>
      <c r="I540" s="35">
        <v>327785</v>
      </c>
      <c r="J540" s="35">
        <v>983355</v>
      </c>
      <c r="K540" s="35">
        <v>662971.61583731056</v>
      </c>
      <c r="L540" s="35">
        <v>187243.07344293929</v>
      </c>
      <c r="M540" s="35">
        <v>796111.92655706068</v>
      </c>
      <c r="N540" s="35">
        <v>133140.31071975012</v>
      </c>
    </row>
    <row r="541" spans="1:14" x14ac:dyDescent="0.25">
      <c r="A541" t="s">
        <v>552</v>
      </c>
      <c r="B541" s="2">
        <v>45615</v>
      </c>
      <c r="C541" t="s">
        <v>617</v>
      </c>
      <c r="D541" t="s">
        <v>619</v>
      </c>
      <c r="E541" t="s">
        <v>622</v>
      </c>
      <c r="F541" t="s">
        <v>627</v>
      </c>
      <c r="G541" t="s">
        <v>631</v>
      </c>
      <c r="H541">
        <v>6</v>
      </c>
      <c r="I541" s="35">
        <v>391678</v>
      </c>
      <c r="J541" s="35">
        <v>2350068</v>
      </c>
      <c r="K541" s="35">
        <v>1834888.8531350989</v>
      </c>
      <c r="L541" s="35">
        <v>346836.08724709449</v>
      </c>
      <c r="M541" s="35">
        <v>2003231.9127529049</v>
      </c>
      <c r="N541" s="35">
        <v>168343.05961780599</v>
      </c>
    </row>
    <row r="542" spans="1:14" x14ac:dyDescent="0.25">
      <c r="A542" t="s">
        <v>553</v>
      </c>
      <c r="B542" s="2">
        <v>45025</v>
      </c>
      <c r="C542" t="s">
        <v>613</v>
      </c>
      <c r="D542" t="s">
        <v>618</v>
      </c>
      <c r="E542" t="s">
        <v>624</v>
      </c>
      <c r="F542" t="s">
        <v>626</v>
      </c>
      <c r="G542" t="s">
        <v>632</v>
      </c>
      <c r="H542">
        <v>3</v>
      </c>
      <c r="I542" s="35">
        <v>318449</v>
      </c>
      <c r="J542" s="35">
        <v>955347</v>
      </c>
      <c r="K542" s="35">
        <v>670343.30320633412</v>
      </c>
      <c r="L542" s="35">
        <v>114150.44692095779</v>
      </c>
      <c r="M542" s="35">
        <v>841196.55307904212</v>
      </c>
      <c r="N542" s="35">
        <v>170853.24987270799</v>
      </c>
    </row>
    <row r="543" spans="1:14" x14ac:dyDescent="0.25">
      <c r="A543" t="s">
        <v>554</v>
      </c>
      <c r="B543" s="2">
        <v>45474</v>
      </c>
      <c r="C543" t="s">
        <v>613</v>
      </c>
      <c r="D543" t="s">
        <v>619</v>
      </c>
      <c r="E543" t="s">
        <v>624</v>
      </c>
      <c r="F543" t="s">
        <v>627</v>
      </c>
      <c r="G543" t="s">
        <v>632</v>
      </c>
      <c r="H543">
        <v>1</v>
      </c>
      <c r="I543" s="35">
        <v>279334</v>
      </c>
      <c r="J543" s="35">
        <v>279334</v>
      </c>
      <c r="K543" s="35">
        <v>179998.18856776229</v>
      </c>
      <c r="L543" s="35">
        <v>49212.79375512158</v>
      </c>
      <c r="M543" s="35">
        <v>230121.20624487841</v>
      </c>
      <c r="N543" s="35">
        <v>50123.01767711612</v>
      </c>
    </row>
    <row r="544" spans="1:14" x14ac:dyDescent="0.25">
      <c r="A544" t="s">
        <v>555</v>
      </c>
      <c r="B544" s="2">
        <v>45022</v>
      </c>
      <c r="C544" t="s">
        <v>614</v>
      </c>
      <c r="D544" t="s">
        <v>619</v>
      </c>
      <c r="E544" t="s">
        <v>620</v>
      </c>
      <c r="F544" t="s">
        <v>627</v>
      </c>
      <c r="G544" t="s">
        <v>633</v>
      </c>
      <c r="H544">
        <v>5</v>
      </c>
      <c r="I544" s="35">
        <v>330926</v>
      </c>
      <c r="J544" s="35">
        <v>1654630</v>
      </c>
      <c r="K544" s="35">
        <v>1229228.781576989</v>
      </c>
      <c r="L544" s="35">
        <v>16415.88482646093</v>
      </c>
      <c r="M544" s="35">
        <v>1638214.1151735389</v>
      </c>
      <c r="N544" s="35">
        <v>408985.33359654993</v>
      </c>
    </row>
    <row r="545" spans="1:14" x14ac:dyDescent="0.25">
      <c r="A545" t="s">
        <v>556</v>
      </c>
      <c r="B545" s="2">
        <v>45590</v>
      </c>
      <c r="C545" t="s">
        <v>615</v>
      </c>
      <c r="D545" t="s">
        <v>618</v>
      </c>
      <c r="E545" t="s">
        <v>622</v>
      </c>
      <c r="F545" t="s">
        <v>630</v>
      </c>
      <c r="G545" t="s">
        <v>632</v>
      </c>
      <c r="H545">
        <v>4</v>
      </c>
      <c r="I545" s="35">
        <v>390401</v>
      </c>
      <c r="J545" s="35">
        <v>1561604</v>
      </c>
      <c r="K545" s="35">
        <v>1226108.7566001071</v>
      </c>
      <c r="L545" s="35">
        <v>80286.025674687422</v>
      </c>
      <c r="M545" s="35">
        <v>1481317.974325313</v>
      </c>
      <c r="N545" s="35">
        <v>255209.21772520593</v>
      </c>
    </row>
    <row r="546" spans="1:14" x14ac:dyDescent="0.25">
      <c r="A546" t="s">
        <v>557</v>
      </c>
      <c r="B546" s="2">
        <v>45589</v>
      </c>
      <c r="C546" t="s">
        <v>613</v>
      </c>
      <c r="D546" t="s">
        <v>618</v>
      </c>
      <c r="E546" t="s">
        <v>623</v>
      </c>
      <c r="F546" t="s">
        <v>626</v>
      </c>
      <c r="G546" t="s">
        <v>632</v>
      </c>
      <c r="H546">
        <v>7</v>
      </c>
      <c r="I546" s="35">
        <v>286371</v>
      </c>
      <c r="J546" s="35">
        <v>2004597</v>
      </c>
      <c r="K546" s="35">
        <v>1015568.6206350219</v>
      </c>
      <c r="L546" s="35">
        <v>186442.08809404669</v>
      </c>
      <c r="M546" s="35">
        <v>1818154.911905953</v>
      </c>
      <c r="N546" s="35">
        <v>802586.29127093102</v>
      </c>
    </row>
    <row r="547" spans="1:14" x14ac:dyDescent="0.25">
      <c r="A547" t="s">
        <v>558</v>
      </c>
      <c r="B547" s="2">
        <v>45116</v>
      </c>
      <c r="C547" t="s">
        <v>617</v>
      </c>
      <c r="D547" t="s">
        <v>618</v>
      </c>
      <c r="E547" t="s">
        <v>624</v>
      </c>
      <c r="F547" t="s">
        <v>626</v>
      </c>
      <c r="G547" t="s">
        <v>631</v>
      </c>
      <c r="H547">
        <v>6</v>
      </c>
      <c r="I547" s="35">
        <v>127963</v>
      </c>
      <c r="J547" s="35">
        <v>767778</v>
      </c>
      <c r="K547" s="35">
        <v>610196.4652110592</v>
      </c>
      <c r="L547" s="35">
        <v>34853.825815673103</v>
      </c>
      <c r="M547" s="35">
        <v>732924.1741843269</v>
      </c>
      <c r="N547" s="35">
        <v>122727.7089732677</v>
      </c>
    </row>
    <row r="548" spans="1:14" x14ac:dyDescent="0.25">
      <c r="A548" t="s">
        <v>559</v>
      </c>
      <c r="B548" s="2">
        <v>44963</v>
      </c>
      <c r="C548" t="s">
        <v>614</v>
      </c>
      <c r="D548" t="s">
        <v>618</v>
      </c>
      <c r="E548" t="s">
        <v>620</v>
      </c>
      <c r="F548" t="s">
        <v>626</v>
      </c>
      <c r="G548" t="s">
        <v>631</v>
      </c>
      <c r="H548">
        <v>7</v>
      </c>
      <c r="I548" s="35">
        <v>171987</v>
      </c>
      <c r="J548" s="35">
        <v>1203909</v>
      </c>
      <c r="K548" s="35">
        <v>633063.07722240489</v>
      </c>
      <c r="L548" s="35">
        <v>179118.8300279493</v>
      </c>
      <c r="M548" s="35">
        <v>1024790.1699720511</v>
      </c>
      <c r="N548" s="35">
        <v>391727.09274964617</v>
      </c>
    </row>
    <row r="549" spans="1:14" x14ac:dyDescent="0.25">
      <c r="A549" t="s">
        <v>560</v>
      </c>
      <c r="B549" s="2">
        <v>45295</v>
      </c>
      <c r="C549" t="s">
        <v>615</v>
      </c>
      <c r="D549" t="s">
        <v>618</v>
      </c>
      <c r="E549" t="s">
        <v>622</v>
      </c>
      <c r="F549" t="s">
        <v>630</v>
      </c>
      <c r="G549" t="s">
        <v>633</v>
      </c>
      <c r="H549">
        <v>5</v>
      </c>
      <c r="I549" s="35">
        <v>201638</v>
      </c>
      <c r="J549" s="35">
        <v>1008190</v>
      </c>
      <c r="K549" s="35">
        <v>750411.98209729185</v>
      </c>
      <c r="L549" s="35">
        <v>185347.26896561109</v>
      </c>
      <c r="M549" s="35">
        <v>822842.731034389</v>
      </c>
      <c r="N549" s="35">
        <v>72430.748937097145</v>
      </c>
    </row>
    <row r="550" spans="1:14" x14ac:dyDescent="0.25">
      <c r="A550" t="s">
        <v>561</v>
      </c>
      <c r="B550" s="2">
        <v>45621</v>
      </c>
      <c r="C550" t="s">
        <v>616</v>
      </c>
      <c r="D550" t="s">
        <v>618</v>
      </c>
      <c r="E550" t="s">
        <v>622</v>
      </c>
      <c r="F550" t="s">
        <v>627</v>
      </c>
      <c r="G550" t="s">
        <v>631</v>
      </c>
      <c r="H550">
        <v>4</v>
      </c>
      <c r="I550" s="35">
        <v>174591</v>
      </c>
      <c r="J550" s="35">
        <v>698364</v>
      </c>
      <c r="K550" s="35">
        <v>407914.70973924443</v>
      </c>
      <c r="L550" s="35">
        <v>59189.159207087883</v>
      </c>
      <c r="M550" s="35">
        <v>639174.84079291206</v>
      </c>
      <c r="N550" s="35">
        <v>231260.13105366763</v>
      </c>
    </row>
    <row r="551" spans="1:14" x14ac:dyDescent="0.25">
      <c r="A551" t="s">
        <v>562</v>
      </c>
      <c r="B551" s="2">
        <v>45451</v>
      </c>
      <c r="C551" t="s">
        <v>617</v>
      </c>
      <c r="D551" t="s">
        <v>618</v>
      </c>
      <c r="E551" t="s">
        <v>623</v>
      </c>
      <c r="F551" t="s">
        <v>630</v>
      </c>
      <c r="G551" t="s">
        <v>633</v>
      </c>
      <c r="H551">
        <v>7</v>
      </c>
      <c r="I551" s="35">
        <v>117766</v>
      </c>
      <c r="J551" s="35">
        <v>824362</v>
      </c>
      <c r="K551" s="35">
        <v>444870.1661075892</v>
      </c>
      <c r="L551" s="35">
        <v>56408.222898688393</v>
      </c>
      <c r="M551" s="35">
        <v>767953.7771013116</v>
      </c>
      <c r="N551" s="35">
        <v>323083.6109937224</v>
      </c>
    </row>
    <row r="552" spans="1:14" x14ac:dyDescent="0.25">
      <c r="A552" t="s">
        <v>563</v>
      </c>
      <c r="B552" s="2">
        <v>45205</v>
      </c>
      <c r="C552" t="s">
        <v>613</v>
      </c>
      <c r="D552" t="s">
        <v>619</v>
      </c>
      <c r="E552" t="s">
        <v>620</v>
      </c>
      <c r="F552" t="s">
        <v>628</v>
      </c>
      <c r="G552" t="s">
        <v>633</v>
      </c>
      <c r="H552">
        <v>7</v>
      </c>
      <c r="I552" s="35">
        <v>56511</v>
      </c>
      <c r="J552" s="35">
        <v>395577</v>
      </c>
      <c r="K552" s="35">
        <v>249987.5323173239</v>
      </c>
      <c r="L552" s="35">
        <v>76073.47079335642</v>
      </c>
      <c r="M552" s="35">
        <v>319503.52920664358</v>
      </c>
      <c r="N552" s="35">
        <v>69515.996889319678</v>
      </c>
    </row>
    <row r="553" spans="1:14" x14ac:dyDescent="0.25">
      <c r="A553" t="s">
        <v>564</v>
      </c>
      <c r="B553" s="2">
        <v>45143</v>
      </c>
      <c r="C553" t="s">
        <v>613</v>
      </c>
      <c r="D553" t="s">
        <v>618</v>
      </c>
      <c r="E553" t="s">
        <v>622</v>
      </c>
      <c r="F553" t="s">
        <v>628</v>
      </c>
      <c r="G553" t="s">
        <v>633</v>
      </c>
      <c r="H553">
        <v>6</v>
      </c>
      <c r="I553" s="35">
        <v>164816</v>
      </c>
      <c r="J553" s="35">
        <v>988896</v>
      </c>
      <c r="K553" s="35">
        <v>685489.82567682816</v>
      </c>
      <c r="L553" s="35">
        <v>87982.558282684768</v>
      </c>
      <c r="M553" s="35">
        <v>900913.44171731523</v>
      </c>
      <c r="N553" s="35">
        <v>215423.61604048708</v>
      </c>
    </row>
    <row r="554" spans="1:14" x14ac:dyDescent="0.25">
      <c r="A554" t="s">
        <v>565</v>
      </c>
      <c r="B554" s="2">
        <v>45199</v>
      </c>
      <c r="C554" t="s">
        <v>617</v>
      </c>
      <c r="D554" t="s">
        <v>619</v>
      </c>
      <c r="E554" t="s">
        <v>624</v>
      </c>
      <c r="F554" t="s">
        <v>630</v>
      </c>
      <c r="G554" t="s">
        <v>632</v>
      </c>
      <c r="H554">
        <v>8</v>
      </c>
      <c r="I554" s="35">
        <v>299432</v>
      </c>
      <c r="J554" s="35">
        <v>2395456</v>
      </c>
      <c r="K554" s="35">
        <v>1471494.014861766</v>
      </c>
      <c r="L554" s="35">
        <v>234298.78502932761</v>
      </c>
      <c r="M554" s="35">
        <v>2161157.214970673</v>
      </c>
      <c r="N554" s="35">
        <v>689663.20010890695</v>
      </c>
    </row>
    <row r="555" spans="1:14" x14ac:dyDescent="0.25">
      <c r="A555" t="s">
        <v>566</v>
      </c>
      <c r="B555" s="2">
        <v>44988</v>
      </c>
      <c r="C555" t="s">
        <v>613</v>
      </c>
      <c r="D555" t="s">
        <v>618</v>
      </c>
      <c r="E555" t="s">
        <v>623</v>
      </c>
      <c r="F555" t="s">
        <v>626</v>
      </c>
      <c r="G555" t="s">
        <v>631</v>
      </c>
      <c r="H555">
        <v>4</v>
      </c>
      <c r="I555" s="35">
        <v>469393</v>
      </c>
      <c r="J555" s="35">
        <v>1877572</v>
      </c>
      <c r="K555" s="35">
        <v>969521.144828049</v>
      </c>
      <c r="L555" s="35">
        <v>132049.59082254721</v>
      </c>
      <c r="M555" s="35">
        <v>1745522.409177453</v>
      </c>
      <c r="N555" s="35">
        <v>776001.26434940402</v>
      </c>
    </row>
    <row r="556" spans="1:14" x14ac:dyDescent="0.25">
      <c r="A556" t="s">
        <v>567</v>
      </c>
      <c r="B556" s="2">
        <v>45522</v>
      </c>
      <c r="C556" t="s">
        <v>614</v>
      </c>
      <c r="D556" t="s">
        <v>618</v>
      </c>
      <c r="E556" t="s">
        <v>620</v>
      </c>
      <c r="F556" t="s">
        <v>627</v>
      </c>
      <c r="G556" t="s">
        <v>633</v>
      </c>
      <c r="H556">
        <v>5</v>
      </c>
      <c r="I556" s="35">
        <v>316909</v>
      </c>
      <c r="J556" s="35">
        <v>1584545</v>
      </c>
      <c r="K556" s="35">
        <v>1077234.445462157</v>
      </c>
      <c r="L556" s="35">
        <v>288244.09703380382</v>
      </c>
      <c r="M556" s="35">
        <v>1296300.902966196</v>
      </c>
      <c r="N556" s="35">
        <v>219066.45750403893</v>
      </c>
    </row>
    <row r="557" spans="1:14" x14ac:dyDescent="0.25">
      <c r="A557" t="s">
        <v>568</v>
      </c>
      <c r="B557" s="2">
        <v>45655</v>
      </c>
      <c r="C557" t="s">
        <v>615</v>
      </c>
      <c r="D557" t="s">
        <v>619</v>
      </c>
      <c r="E557" t="s">
        <v>623</v>
      </c>
      <c r="F557" t="s">
        <v>630</v>
      </c>
      <c r="G557" t="s">
        <v>631</v>
      </c>
      <c r="H557">
        <v>4</v>
      </c>
      <c r="I557" s="35">
        <v>201426</v>
      </c>
      <c r="J557" s="35">
        <v>805704</v>
      </c>
      <c r="K557" s="35">
        <v>620972.97875264252</v>
      </c>
      <c r="L557" s="35">
        <v>91681.941740424067</v>
      </c>
      <c r="M557" s="35">
        <v>714022.05825957598</v>
      </c>
      <c r="N557" s="35">
        <v>93049.079506933456</v>
      </c>
    </row>
    <row r="558" spans="1:14" x14ac:dyDescent="0.25">
      <c r="A558" t="s">
        <v>569</v>
      </c>
      <c r="B558" s="2">
        <v>45268</v>
      </c>
      <c r="C558" t="s">
        <v>614</v>
      </c>
      <c r="D558" t="s">
        <v>618</v>
      </c>
      <c r="E558" t="s">
        <v>624</v>
      </c>
      <c r="F558" t="s">
        <v>630</v>
      </c>
      <c r="G558" t="s">
        <v>633</v>
      </c>
      <c r="H558">
        <v>1</v>
      </c>
      <c r="I558" s="35">
        <v>336073</v>
      </c>
      <c r="J558" s="35">
        <v>336073</v>
      </c>
      <c r="K558" s="35">
        <v>206673.00130399721</v>
      </c>
      <c r="L558" s="35">
        <v>51229.260007579382</v>
      </c>
      <c r="M558" s="35">
        <v>284843.7399924206</v>
      </c>
      <c r="N558" s="35">
        <v>78170.738688423386</v>
      </c>
    </row>
    <row r="559" spans="1:14" x14ac:dyDescent="0.25">
      <c r="A559" t="s">
        <v>570</v>
      </c>
      <c r="B559" s="2">
        <v>45323</v>
      </c>
      <c r="C559" t="s">
        <v>613</v>
      </c>
      <c r="D559" t="s">
        <v>618</v>
      </c>
      <c r="E559" t="s">
        <v>620</v>
      </c>
      <c r="F559" t="s">
        <v>630</v>
      </c>
      <c r="G559" t="s">
        <v>631</v>
      </c>
      <c r="H559">
        <v>8</v>
      </c>
      <c r="I559" s="35">
        <v>209892</v>
      </c>
      <c r="J559" s="35">
        <v>1679136</v>
      </c>
      <c r="K559" s="35">
        <v>948543.64646997489</v>
      </c>
      <c r="L559" s="35">
        <v>272626.7771649668</v>
      </c>
      <c r="M559" s="35">
        <v>1406509.222835033</v>
      </c>
      <c r="N559" s="35">
        <v>457965.57636505808</v>
      </c>
    </row>
    <row r="560" spans="1:14" x14ac:dyDescent="0.25">
      <c r="A560" t="s">
        <v>571</v>
      </c>
      <c r="B560" s="2">
        <v>45625</v>
      </c>
      <c r="C560" t="s">
        <v>616</v>
      </c>
      <c r="D560" t="s">
        <v>619</v>
      </c>
      <c r="E560" t="s">
        <v>623</v>
      </c>
      <c r="F560" t="s">
        <v>629</v>
      </c>
      <c r="G560" t="s">
        <v>631</v>
      </c>
      <c r="H560">
        <v>1</v>
      </c>
      <c r="I560" s="35">
        <v>161576</v>
      </c>
      <c r="J560" s="35">
        <v>161576</v>
      </c>
      <c r="K560" s="35">
        <v>102240.96317393221</v>
      </c>
      <c r="L560" s="35">
        <v>11046.920159364579</v>
      </c>
      <c r="M560" s="35">
        <v>150529.07984063539</v>
      </c>
      <c r="N560" s="35">
        <v>48288.116666703179</v>
      </c>
    </row>
    <row r="561" spans="1:14" x14ac:dyDescent="0.25">
      <c r="A561" t="s">
        <v>572</v>
      </c>
      <c r="B561" s="2">
        <v>44945</v>
      </c>
      <c r="C561" t="s">
        <v>615</v>
      </c>
      <c r="D561" t="s">
        <v>618</v>
      </c>
      <c r="E561" t="s">
        <v>621</v>
      </c>
      <c r="F561" t="s">
        <v>628</v>
      </c>
      <c r="G561" t="s">
        <v>633</v>
      </c>
      <c r="H561">
        <v>5</v>
      </c>
      <c r="I561" s="35">
        <v>472739</v>
      </c>
      <c r="J561" s="35">
        <v>2363695</v>
      </c>
      <c r="K561" s="35">
        <v>1216141.909487735</v>
      </c>
      <c r="L561" s="35">
        <v>205024.2244940651</v>
      </c>
      <c r="M561" s="35">
        <v>2158670.7755059348</v>
      </c>
      <c r="N561" s="35">
        <v>942528.86601819983</v>
      </c>
    </row>
    <row r="562" spans="1:14" x14ac:dyDescent="0.25">
      <c r="A562" t="s">
        <v>573</v>
      </c>
      <c r="B562" s="2">
        <v>45103</v>
      </c>
      <c r="C562" t="s">
        <v>615</v>
      </c>
      <c r="D562" t="s">
        <v>618</v>
      </c>
      <c r="E562" t="s">
        <v>624</v>
      </c>
      <c r="F562" t="s">
        <v>626</v>
      </c>
      <c r="G562" t="s">
        <v>632</v>
      </c>
      <c r="H562">
        <v>6</v>
      </c>
      <c r="I562" s="35">
        <v>121088</v>
      </c>
      <c r="J562" s="35">
        <v>726528</v>
      </c>
      <c r="K562" s="35">
        <v>542096.16113318561</v>
      </c>
      <c r="L562" s="35">
        <v>123287.7002631669</v>
      </c>
      <c r="M562" s="35">
        <v>603240.29973683308</v>
      </c>
      <c r="N562" s="35">
        <v>61144.138603647472</v>
      </c>
    </row>
    <row r="563" spans="1:14" x14ac:dyDescent="0.25">
      <c r="A563" t="s">
        <v>574</v>
      </c>
      <c r="B563" s="2">
        <v>45538</v>
      </c>
      <c r="C563" t="s">
        <v>617</v>
      </c>
      <c r="D563" t="s">
        <v>618</v>
      </c>
      <c r="E563" t="s">
        <v>624</v>
      </c>
      <c r="F563" t="s">
        <v>625</v>
      </c>
      <c r="G563" t="s">
        <v>631</v>
      </c>
      <c r="H563">
        <v>6</v>
      </c>
      <c r="I563" s="35">
        <v>127525</v>
      </c>
      <c r="J563" s="35">
        <v>765150</v>
      </c>
      <c r="K563" s="35">
        <v>572257.40144956065</v>
      </c>
      <c r="L563" s="35">
        <v>55588.966466949241</v>
      </c>
      <c r="M563" s="35">
        <v>709561.0335330508</v>
      </c>
      <c r="N563" s="35">
        <v>137303.63208349014</v>
      </c>
    </row>
    <row r="564" spans="1:14" x14ac:dyDescent="0.25">
      <c r="A564" t="s">
        <v>575</v>
      </c>
      <c r="B564" s="2">
        <v>45322</v>
      </c>
      <c r="C564" t="s">
        <v>617</v>
      </c>
      <c r="D564" t="s">
        <v>619</v>
      </c>
      <c r="E564" t="s">
        <v>624</v>
      </c>
      <c r="F564" t="s">
        <v>626</v>
      </c>
      <c r="G564" t="s">
        <v>632</v>
      </c>
      <c r="H564">
        <v>5</v>
      </c>
      <c r="I564" s="35">
        <v>63780</v>
      </c>
      <c r="J564" s="35">
        <v>318900</v>
      </c>
      <c r="K564" s="35">
        <v>215704.00433631259</v>
      </c>
      <c r="L564" s="35">
        <v>50637.182811559083</v>
      </c>
      <c r="M564" s="35">
        <v>268262.81718844088</v>
      </c>
      <c r="N564" s="35">
        <v>52558.812852128292</v>
      </c>
    </row>
    <row r="565" spans="1:14" x14ac:dyDescent="0.25">
      <c r="A565" t="s">
        <v>576</v>
      </c>
      <c r="B565" s="2">
        <v>45371</v>
      </c>
      <c r="C565" t="s">
        <v>616</v>
      </c>
      <c r="D565" t="s">
        <v>618</v>
      </c>
      <c r="E565" t="s">
        <v>621</v>
      </c>
      <c r="F565" t="s">
        <v>625</v>
      </c>
      <c r="G565" t="s">
        <v>632</v>
      </c>
      <c r="H565">
        <v>3</v>
      </c>
      <c r="I565" s="35">
        <v>318733</v>
      </c>
      <c r="J565" s="35">
        <v>956199</v>
      </c>
      <c r="K565" s="35">
        <v>579390.48878999974</v>
      </c>
      <c r="L565" s="35">
        <v>179955.18357067081</v>
      </c>
      <c r="M565" s="35">
        <v>776243.8164293291</v>
      </c>
      <c r="N565" s="35">
        <v>196853.32763932936</v>
      </c>
    </row>
    <row r="566" spans="1:14" x14ac:dyDescent="0.25">
      <c r="A566" t="s">
        <v>577</v>
      </c>
      <c r="B566" s="2">
        <v>45159</v>
      </c>
      <c r="C566" t="s">
        <v>615</v>
      </c>
      <c r="D566" t="s">
        <v>618</v>
      </c>
      <c r="E566" t="s">
        <v>621</v>
      </c>
      <c r="F566" t="s">
        <v>629</v>
      </c>
      <c r="G566" t="s">
        <v>633</v>
      </c>
      <c r="H566">
        <v>5</v>
      </c>
      <c r="I566" s="35">
        <v>478028</v>
      </c>
      <c r="J566" s="35">
        <v>2390140</v>
      </c>
      <c r="K566" s="35">
        <v>1768548.2632089329</v>
      </c>
      <c r="L566" s="35">
        <v>297912.00821695331</v>
      </c>
      <c r="M566" s="35">
        <v>2092227.9917830471</v>
      </c>
      <c r="N566" s="35">
        <v>323679.72857411415</v>
      </c>
    </row>
    <row r="567" spans="1:14" x14ac:dyDescent="0.25">
      <c r="A567" t="s">
        <v>578</v>
      </c>
      <c r="B567" s="2">
        <v>45002</v>
      </c>
      <c r="C567" t="s">
        <v>616</v>
      </c>
      <c r="D567" t="s">
        <v>618</v>
      </c>
      <c r="E567" t="s">
        <v>622</v>
      </c>
      <c r="F567" t="s">
        <v>630</v>
      </c>
      <c r="G567" t="s">
        <v>633</v>
      </c>
      <c r="H567">
        <v>8</v>
      </c>
      <c r="I567" s="35">
        <v>405808</v>
      </c>
      <c r="J567" s="35">
        <v>3246464</v>
      </c>
      <c r="K567" s="35">
        <v>2163463.437172763</v>
      </c>
      <c r="L567" s="35">
        <v>481533.25802604179</v>
      </c>
      <c r="M567" s="35">
        <v>2764930.741973958</v>
      </c>
      <c r="N567" s="35">
        <v>601467.30480119493</v>
      </c>
    </row>
    <row r="568" spans="1:14" x14ac:dyDescent="0.25">
      <c r="A568" t="s">
        <v>579</v>
      </c>
      <c r="B568" s="2">
        <v>45191</v>
      </c>
      <c r="C568" t="s">
        <v>617</v>
      </c>
      <c r="D568" t="s">
        <v>618</v>
      </c>
      <c r="E568" t="s">
        <v>623</v>
      </c>
      <c r="F568" t="s">
        <v>629</v>
      </c>
      <c r="G568" t="s">
        <v>633</v>
      </c>
      <c r="H568">
        <v>2</v>
      </c>
      <c r="I568" s="35">
        <v>489155</v>
      </c>
      <c r="J568" s="35">
        <v>978310</v>
      </c>
      <c r="K568" s="35">
        <v>731560.35103326989</v>
      </c>
      <c r="L568" s="35">
        <v>157526.95026859251</v>
      </c>
      <c r="M568" s="35">
        <v>820783.04973140743</v>
      </c>
      <c r="N568" s="35">
        <v>89222.698698137538</v>
      </c>
    </row>
    <row r="569" spans="1:14" x14ac:dyDescent="0.25">
      <c r="A569" t="s">
        <v>580</v>
      </c>
      <c r="B569" s="2">
        <v>45381</v>
      </c>
      <c r="C569" t="s">
        <v>617</v>
      </c>
      <c r="D569" t="s">
        <v>619</v>
      </c>
      <c r="E569" t="s">
        <v>622</v>
      </c>
      <c r="F569" t="s">
        <v>629</v>
      </c>
      <c r="G569" t="s">
        <v>631</v>
      </c>
      <c r="H569">
        <v>6</v>
      </c>
      <c r="I569" s="35">
        <v>494709</v>
      </c>
      <c r="J569" s="35">
        <v>2968254</v>
      </c>
      <c r="K569" s="35">
        <v>2046426.0260759159</v>
      </c>
      <c r="L569" s="35">
        <v>501658.46359921101</v>
      </c>
      <c r="M569" s="35">
        <v>2466595.5364007889</v>
      </c>
      <c r="N569" s="35">
        <v>420169.51032487303</v>
      </c>
    </row>
    <row r="570" spans="1:14" x14ac:dyDescent="0.25">
      <c r="A570" t="s">
        <v>581</v>
      </c>
      <c r="B570" s="2">
        <v>45644</v>
      </c>
      <c r="C570" t="s">
        <v>615</v>
      </c>
      <c r="D570" t="s">
        <v>619</v>
      </c>
      <c r="E570" t="s">
        <v>623</v>
      </c>
      <c r="F570" t="s">
        <v>627</v>
      </c>
      <c r="G570" t="s">
        <v>633</v>
      </c>
      <c r="H570">
        <v>9</v>
      </c>
      <c r="I570" s="35">
        <v>154188</v>
      </c>
      <c r="J570" s="35">
        <v>1387692</v>
      </c>
      <c r="K570" s="35">
        <v>1020399.959980084</v>
      </c>
      <c r="L570" s="35">
        <v>109642.47130343461</v>
      </c>
      <c r="M570" s="35">
        <v>1278049.528696565</v>
      </c>
      <c r="N570" s="35">
        <v>257649.56871648098</v>
      </c>
    </row>
    <row r="571" spans="1:14" x14ac:dyDescent="0.25">
      <c r="A571" t="s">
        <v>582</v>
      </c>
      <c r="B571" s="2">
        <v>45310</v>
      </c>
      <c r="C571" t="s">
        <v>614</v>
      </c>
      <c r="D571" t="s">
        <v>618</v>
      </c>
      <c r="E571" t="s">
        <v>621</v>
      </c>
      <c r="F571" t="s">
        <v>628</v>
      </c>
      <c r="G571" t="s">
        <v>633</v>
      </c>
      <c r="H571">
        <v>8</v>
      </c>
      <c r="I571" s="35">
        <v>143326</v>
      </c>
      <c r="J571" s="35">
        <v>1146608</v>
      </c>
      <c r="K571" s="35">
        <v>779199.13495822891</v>
      </c>
      <c r="L571" s="35">
        <v>11755.81847977458</v>
      </c>
      <c r="M571" s="35">
        <v>1134852.181520225</v>
      </c>
      <c r="N571" s="35">
        <v>355653.0465619961</v>
      </c>
    </row>
    <row r="572" spans="1:14" x14ac:dyDescent="0.25">
      <c r="A572" t="s">
        <v>583</v>
      </c>
      <c r="B572" s="2">
        <v>45490</v>
      </c>
      <c r="C572" t="s">
        <v>613</v>
      </c>
      <c r="D572" t="s">
        <v>618</v>
      </c>
      <c r="E572" t="s">
        <v>621</v>
      </c>
      <c r="F572" t="s">
        <v>625</v>
      </c>
      <c r="G572" t="s">
        <v>631</v>
      </c>
      <c r="H572">
        <v>8</v>
      </c>
      <c r="I572" s="35">
        <v>353097</v>
      </c>
      <c r="J572" s="35">
        <v>2824776</v>
      </c>
      <c r="K572" s="35">
        <v>1763344.7250329929</v>
      </c>
      <c r="L572" s="35">
        <v>227042.08919180639</v>
      </c>
      <c r="M572" s="35">
        <v>2597733.910808193</v>
      </c>
      <c r="N572" s="35">
        <v>834389.18577520014</v>
      </c>
    </row>
    <row r="573" spans="1:14" x14ac:dyDescent="0.25">
      <c r="A573" t="s">
        <v>584</v>
      </c>
      <c r="B573" s="2">
        <v>45432</v>
      </c>
      <c r="C573" t="s">
        <v>617</v>
      </c>
      <c r="D573" t="s">
        <v>619</v>
      </c>
      <c r="E573" t="s">
        <v>622</v>
      </c>
      <c r="F573" t="s">
        <v>630</v>
      </c>
      <c r="G573" t="s">
        <v>631</v>
      </c>
      <c r="H573">
        <v>8</v>
      </c>
      <c r="I573" s="35">
        <v>115785</v>
      </c>
      <c r="J573" s="35">
        <v>926280</v>
      </c>
      <c r="K573" s="35">
        <v>729337.82733971486</v>
      </c>
      <c r="L573" s="35">
        <v>124817.3841048813</v>
      </c>
      <c r="M573" s="35">
        <v>801462.61589511868</v>
      </c>
      <c r="N573" s="35">
        <v>72124.788555403822</v>
      </c>
    </row>
    <row r="574" spans="1:14" x14ac:dyDescent="0.25">
      <c r="A574" t="s">
        <v>585</v>
      </c>
      <c r="B574" s="2">
        <v>45293</v>
      </c>
      <c r="C574" t="s">
        <v>617</v>
      </c>
      <c r="D574" t="s">
        <v>619</v>
      </c>
      <c r="E574" t="s">
        <v>620</v>
      </c>
      <c r="F574" t="s">
        <v>625</v>
      </c>
      <c r="G574" t="s">
        <v>633</v>
      </c>
      <c r="H574">
        <v>7</v>
      </c>
      <c r="I574" s="35">
        <v>69309</v>
      </c>
      <c r="J574" s="35">
        <v>485163</v>
      </c>
      <c r="K574" s="35">
        <v>321340.0219859085</v>
      </c>
      <c r="L574" s="35">
        <v>43698.668843313353</v>
      </c>
      <c r="M574" s="35">
        <v>441464.33115668659</v>
      </c>
      <c r="N574" s="35">
        <v>120124.30917077808</v>
      </c>
    </row>
    <row r="575" spans="1:14" x14ac:dyDescent="0.25">
      <c r="A575" t="s">
        <v>586</v>
      </c>
      <c r="B575" s="2">
        <v>45070</v>
      </c>
      <c r="C575" t="s">
        <v>614</v>
      </c>
      <c r="D575" t="s">
        <v>618</v>
      </c>
      <c r="E575" t="s">
        <v>622</v>
      </c>
      <c r="F575" t="s">
        <v>626</v>
      </c>
      <c r="G575" t="s">
        <v>633</v>
      </c>
      <c r="H575">
        <v>8</v>
      </c>
      <c r="I575" s="35">
        <v>104195</v>
      </c>
      <c r="J575" s="35">
        <v>833560</v>
      </c>
      <c r="K575" s="35">
        <v>568093.5257223954</v>
      </c>
      <c r="L575" s="35">
        <v>124861.14480623879</v>
      </c>
      <c r="M575" s="35">
        <v>708698.85519376118</v>
      </c>
      <c r="N575" s="35">
        <v>140605.32947136578</v>
      </c>
    </row>
    <row r="576" spans="1:14" x14ac:dyDescent="0.25">
      <c r="A576" t="s">
        <v>587</v>
      </c>
      <c r="B576" s="2">
        <v>44995</v>
      </c>
      <c r="C576" t="s">
        <v>614</v>
      </c>
      <c r="D576" t="s">
        <v>619</v>
      </c>
      <c r="E576" t="s">
        <v>623</v>
      </c>
      <c r="F576" t="s">
        <v>625</v>
      </c>
      <c r="G576" t="s">
        <v>633</v>
      </c>
      <c r="H576">
        <v>6</v>
      </c>
      <c r="I576" s="35">
        <v>75901</v>
      </c>
      <c r="J576" s="35">
        <v>455406</v>
      </c>
      <c r="K576" s="35">
        <v>257826.418174594</v>
      </c>
      <c r="L576" s="35">
        <v>32514.38805492127</v>
      </c>
      <c r="M576" s="35">
        <v>422891.61194507871</v>
      </c>
      <c r="N576" s="35">
        <v>165065.19377048471</v>
      </c>
    </row>
    <row r="577" spans="1:14" x14ac:dyDescent="0.25">
      <c r="A577" t="s">
        <v>588</v>
      </c>
      <c r="B577" s="2">
        <v>45025</v>
      </c>
      <c r="C577" t="s">
        <v>616</v>
      </c>
      <c r="D577" t="s">
        <v>618</v>
      </c>
      <c r="E577" t="s">
        <v>622</v>
      </c>
      <c r="F577" t="s">
        <v>626</v>
      </c>
      <c r="G577" t="s">
        <v>633</v>
      </c>
      <c r="H577">
        <v>2</v>
      </c>
      <c r="I577" s="35">
        <v>204648</v>
      </c>
      <c r="J577" s="35">
        <v>409296</v>
      </c>
      <c r="K577" s="35">
        <v>281470.90965282801</v>
      </c>
      <c r="L577" s="35">
        <v>51959.647595462979</v>
      </c>
      <c r="M577" s="35">
        <v>357336.35240453703</v>
      </c>
      <c r="N577" s="35">
        <v>75865.442751709023</v>
      </c>
    </row>
    <row r="578" spans="1:14" x14ac:dyDescent="0.25">
      <c r="A578" t="s">
        <v>589</v>
      </c>
      <c r="B578" s="2">
        <v>45322</v>
      </c>
      <c r="C578" t="s">
        <v>616</v>
      </c>
      <c r="D578" t="s">
        <v>619</v>
      </c>
      <c r="E578" t="s">
        <v>624</v>
      </c>
      <c r="F578" t="s">
        <v>628</v>
      </c>
      <c r="G578" t="s">
        <v>632</v>
      </c>
      <c r="H578">
        <v>2</v>
      </c>
      <c r="I578" s="35">
        <v>474724</v>
      </c>
      <c r="J578" s="35">
        <v>949448</v>
      </c>
      <c r="K578" s="35">
        <v>637537.52187588462</v>
      </c>
      <c r="L578" s="35">
        <v>35399.182175799288</v>
      </c>
      <c r="M578" s="35">
        <v>914048.81782420073</v>
      </c>
      <c r="N578" s="35">
        <v>276511.29594831611</v>
      </c>
    </row>
    <row r="579" spans="1:14" x14ac:dyDescent="0.25">
      <c r="A579" t="s">
        <v>590</v>
      </c>
      <c r="B579" s="2">
        <v>44951</v>
      </c>
      <c r="C579" t="s">
        <v>613</v>
      </c>
      <c r="D579" t="s">
        <v>619</v>
      </c>
      <c r="E579" t="s">
        <v>623</v>
      </c>
      <c r="F579" t="s">
        <v>626</v>
      </c>
      <c r="G579" t="s">
        <v>632</v>
      </c>
      <c r="H579">
        <v>8</v>
      </c>
      <c r="I579" s="35">
        <v>75464</v>
      </c>
      <c r="J579" s="35">
        <v>603712</v>
      </c>
      <c r="K579" s="35">
        <v>335332.74767041841</v>
      </c>
      <c r="L579" s="35">
        <v>90480.664267160057</v>
      </c>
      <c r="M579" s="35">
        <v>513231.33573283989</v>
      </c>
      <c r="N579" s="35">
        <v>177898.58806242148</v>
      </c>
    </row>
    <row r="580" spans="1:14" x14ac:dyDescent="0.25">
      <c r="A580" t="s">
        <v>591</v>
      </c>
      <c r="B580" s="2">
        <v>45395</v>
      </c>
      <c r="C580" t="s">
        <v>613</v>
      </c>
      <c r="D580" t="s">
        <v>619</v>
      </c>
      <c r="E580" t="s">
        <v>623</v>
      </c>
      <c r="F580" t="s">
        <v>625</v>
      </c>
      <c r="G580" t="s">
        <v>633</v>
      </c>
      <c r="H580">
        <v>1</v>
      </c>
      <c r="I580" s="35">
        <v>328404</v>
      </c>
      <c r="J580" s="35">
        <v>328404</v>
      </c>
      <c r="K580" s="35">
        <v>170072.5923357486</v>
      </c>
      <c r="L580" s="35">
        <v>35841.747788414577</v>
      </c>
      <c r="M580" s="35">
        <v>292562.25221158541</v>
      </c>
      <c r="N580" s="35">
        <v>122489.65987583681</v>
      </c>
    </row>
    <row r="581" spans="1:14" x14ac:dyDescent="0.25">
      <c r="A581" t="s">
        <v>592</v>
      </c>
      <c r="B581" s="2">
        <v>45410</v>
      </c>
      <c r="C581" t="s">
        <v>615</v>
      </c>
      <c r="D581" t="s">
        <v>619</v>
      </c>
      <c r="E581" t="s">
        <v>620</v>
      </c>
      <c r="F581" t="s">
        <v>625</v>
      </c>
      <c r="G581" t="s">
        <v>632</v>
      </c>
      <c r="H581">
        <v>6</v>
      </c>
      <c r="I581" s="35">
        <v>174997</v>
      </c>
      <c r="J581" s="35">
        <v>1049982</v>
      </c>
      <c r="K581" s="35">
        <v>715360.92216982646</v>
      </c>
      <c r="L581" s="35">
        <v>42852.78696298736</v>
      </c>
      <c r="M581" s="35">
        <v>1007129.213037013</v>
      </c>
      <c r="N581" s="35">
        <v>291768.2908671865</v>
      </c>
    </row>
    <row r="582" spans="1:14" x14ac:dyDescent="0.25">
      <c r="A582" t="s">
        <v>593</v>
      </c>
      <c r="B582" s="2">
        <v>45491</v>
      </c>
      <c r="C582" t="s">
        <v>616</v>
      </c>
      <c r="D582" t="s">
        <v>618</v>
      </c>
      <c r="E582" t="s">
        <v>621</v>
      </c>
      <c r="F582" t="s">
        <v>626</v>
      </c>
      <c r="G582" t="s">
        <v>631</v>
      </c>
      <c r="H582">
        <v>6</v>
      </c>
      <c r="I582" s="35">
        <v>347584</v>
      </c>
      <c r="J582" s="35">
        <v>2085504</v>
      </c>
      <c r="K582" s="35">
        <v>1520556.9847497509</v>
      </c>
      <c r="L582" s="35">
        <v>121756.3839948742</v>
      </c>
      <c r="M582" s="35">
        <v>1963747.6160051259</v>
      </c>
      <c r="N582" s="35">
        <v>443190.63125537499</v>
      </c>
    </row>
    <row r="583" spans="1:14" x14ac:dyDescent="0.25">
      <c r="A583" t="s">
        <v>594</v>
      </c>
      <c r="B583" s="2">
        <v>45077</v>
      </c>
      <c r="C583" t="s">
        <v>617</v>
      </c>
      <c r="D583" t="s">
        <v>619</v>
      </c>
      <c r="E583" t="s">
        <v>623</v>
      </c>
      <c r="F583" t="s">
        <v>629</v>
      </c>
      <c r="G583" t="s">
        <v>632</v>
      </c>
      <c r="H583">
        <v>4</v>
      </c>
      <c r="I583" s="35">
        <v>407226</v>
      </c>
      <c r="J583" s="35">
        <v>1628904</v>
      </c>
      <c r="K583" s="35">
        <v>1070223.176010103</v>
      </c>
      <c r="L583" s="35">
        <v>243882.34396875621</v>
      </c>
      <c r="M583" s="35">
        <v>1385021.656031244</v>
      </c>
      <c r="N583" s="35">
        <v>314798.480021141</v>
      </c>
    </row>
    <row r="584" spans="1:14" x14ac:dyDescent="0.25">
      <c r="A584" t="s">
        <v>595</v>
      </c>
      <c r="B584" s="2">
        <v>45070</v>
      </c>
      <c r="C584" t="s">
        <v>616</v>
      </c>
      <c r="D584" t="s">
        <v>619</v>
      </c>
      <c r="E584" t="s">
        <v>621</v>
      </c>
      <c r="F584" t="s">
        <v>628</v>
      </c>
      <c r="G584" t="s">
        <v>632</v>
      </c>
      <c r="H584">
        <v>3</v>
      </c>
      <c r="I584" s="35">
        <v>417727</v>
      </c>
      <c r="J584" s="35">
        <v>1253181</v>
      </c>
      <c r="K584" s="35">
        <v>711846.64361120958</v>
      </c>
      <c r="L584" s="35">
        <v>120957.33982150799</v>
      </c>
      <c r="M584" s="35">
        <v>1132223.6601784921</v>
      </c>
      <c r="N584" s="35">
        <v>420377.0165672825</v>
      </c>
    </row>
    <row r="585" spans="1:14" x14ac:dyDescent="0.25">
      <c r="A585" t="s">
        <v>596</v>
      </c>
      <c r="B585" s="2">
        <v>45495</v>
      </c>
      <c r="C585" t="s">
        <v>617</v>
      </c>
      <c r="D585" t="s">
        <v>618</v>
      </c>
      <c r="E585" t="s">
        <v>622</v>
      </c>
      <c r="F585" t="s">
        <v>627</v>
      </c>
      <c r="G585" t="s">
        <v>633</v>
      </c>
      <c r="H585">
        <v>3</v>
      </c>
      <c r="I585" s="35">
        <v>106683</v>
      </c>
      <c r="J585" s="35">
        <v>320049</v>
      </c>
      <c r="K585" s="35">
        <v>224020.40763558869</v>
      </c>
      <c r="L585" s="35">
        <v>13828.12929327247</v>
      </c>
      <c r="M585" s="35">
        <v>306220.87070672761</v>
      </c>
      <c r="N585" s="35">
        <v>82200.463071138918</v>
      </c>
    </row>
    <row r="586" spans="1:14" x14ac:dyDescent="0.25">
      <c r="A586" t="s">
        <v>597</v>
      </c>
      <c r="B586" s="2">
        <v>44965</v>
      </c>
      <c r="C586" t="s">
        <v>614</v>
      </c>
      <c r="D586" t="s">
        <v>619</v>
      </c>
      <c r="E586" t="s">
        <v>624</v>
      </c>
      <c r="F586" t="s">
        <v>630</v>
      </c>
      <c r="G586" t="s">
        <v>632</v>
      </c>
      <c r="H586">
        <v>1</v>
      </c>
      <c r="I586" s="35">
        <v>436350</v>
      </c>
      <c r="J586" s="35">
        <v>436350</v>
      </c>
      <c r="K586" s="35">
        <v>228661.24014183</v>
      </c>
      <c r="L586" s="35">
        <v>84413.756783615885</v>
      </c>
      <c r="M586" s="35">
        <v>351936.24321638409</v>
      </c>
      <c r="N586" s="35">
        <v>123275.00307455409</v>
      </c>
    </row>
    <row r="587" spans="1:14" x14ac:dyDescent="0.25">
      <c r="A587" t="s">
        <v>598</v>
      </c>
      <c r="B587" s="2">
        <v>45035</v>
      </c>
      <c r="C587" t="s">
        <v>616</v>
      </c>
      <c r="D587" t="s">
        <v>619</v>
      </c>
      <c r="E587" t="s">
        <v>620</v>
      </c>
      <c r="F587" t="s">
        <v>625</v>
      </c>
      <c r="G587" t="s">
        <v>632</v>
      </c>
      <c r="H587">
        <v>3</v>
      </c>
      <c r="I587" s="35">
        <v>222502</v>
      </c>
      <c r="J587" s="35">
        <v>667506</v>
      </c>
      <c r="K587" s="35">
        <v>422230.99468726013</v>
      </c>
      <c r="L587" s="35">
        <v>95470.048295578323</v>
      </c>
      <c r="M587" s="35">
        <v>572035.95170442166</v>
      </c>
      <c r="N587" s="35">
        <v>149804.95701716153</v>
      </c>
    </row>
    <row r="588" spans="1:14" x14ac:dyDescent="0.25">
      <c r="A588" t="s">
        <v>599</v>
      </c>
      <c r="B588" s="2">
        <v>45619</v>
      </c>
      <c r="C588" t="s">
        <v>614</v>
      </c>
      <c r="D588" t="s">
        <v>618</v>
      </c>
      <c r="E588" t="s">
        <v>621</v>
      </c>
      <c r="F588" t="s">
        <v>630</v>
      </c>
      <c r="G588" t="s">
        <v>632</v>
      </c>
      <c r="H588">
        <v>4</v>
      </c>
      <c r="I588" s="35">
        <v>445203</v>
      </c>
      <c r="J588" s="35">
        <v>1780812</v>
      </c>
      <c r="K588" s="35">
        <v>977683.64512710227</v>
      </c>
      <c r="L588" s="35">
        <v>340895.43908097188</v>
      </c>
      <c r="M588" s="35">
        <v>1439916.560919028</v>
      </c>
      <c r="N588" s="35">
        <v>462232.91579192574</v>
      </c>
    </row>
    <row r="589" spans="1:14" x14ac:dyDescent="0.25">
      <c r="A589" t="s">
        <v>600</v>
      </c>
      <c r="B589" s="2">
        <v>44968</v>
      </c>
      <c r="C589" t="s">
        <v>613</v>
      </c>
      <c r="D589" t="s">
        <v>619</v>
      </c>
      <c r="E589" t="s">
        <v>623</v>
      </c>
      <c r="F589" t="s">
        <v>627</v>
      </c>
      <c r="G589" t="s">
        <v>632</v>
      </c>
      <c r="H589">
        <v>5</v>
      </c>
      <c r="I589" s="35">
        <v>206177</v>
      </c>
      <c r="J589" s="35">
        <v>1030885</v>
      </c>
      <c r="K589" s="35">
        <v>572489.32065556035</v>
      </c>
      <c r="L589" s="35">
        <v>88059.236937259484</v>
      </c>
      <c r="M589" s="35">
        <v>942825.76306274056</v>
      </c>
      <c r="N589" s="35">
        <v>370336.44240718021</v>
      </c>
    </row>
    <row r="590" spans="1:14" x14ac:dyDescent="0.25">
      <c r="A590" t="s">
        <v>601</v>
      </c>
      <c r="B590" s="2">
        <v>45112</v>
      </c>
      <c r="C590" t="s">
        <v>613</v>
      </c>
      <c r="D590" t="s">
        <v>618</v>
      </c>
      <c r="E590" t="s">
        <v>621</v>
      </c>
      <c r="F590" t="s">
        <v>630</v>
      </c>
      <c r="G590" t="s">
        <v>631</v>
      </c>
      <c r="H590">
        <v>3</v>
      </c>
      <c r="I590" s="35">
        <v>128484</v>
      </c>
      <c r="J590" s="35">
        <v>385452</v>
      </c>
      <c r="K590" s="35">
        <v>216118.38218727839</v>
      </c>
      <c r="L590" s="35">
        <v>36625.675304061013</v>
      </c>
      <c r="M590" s="35">
        <v>348826.32469593902</v>
      </c>
      <c r="N590" s="35">
        <v>132707.94250866064</v>
      </c>
    </row>
    <row r="591" spans="1:14" x14ac:dyDescent="0.25">
      <c r="A591" t="s">
        <v>602</v>
      </c>
      <c r="B591" s="2">
        <v>45324</v>
      </c>
      <c r="C591" t="s">
        <v>615</v>
      </c>
      <c r="D591" t="s">
        <v>618</v>
      </c>
      <c r="E591" t="s">
        <v>623</v>
      </c>
      <c r="F591" t="s">
        <v>627</v>
      </c>
      <c r="G591" t="s">
        <v>633</v>
      </c>
      <c r="H591">
        <v>6</v>
      </c>
      <c r="I591" s="35">
        <v>299819</v>
      </c>
      <c r="J591" s="35">
        <v>1798914</v>
      </c>
      <c r="K591" s="35">
        <v>1108152.821644563</v>
      </c>
      <c r="L591" s="35">
        <v>323068.84195365151</v>
      </c>
      <c r="M591" s="35">
        <v>1475845.158046348</v>
      </c>
      <c r="N591" s="35">
        <v>367692.33640178503</v>
      </c>
    </row>
    <row r="592" spans="1:14" x14ac:dyDescent="0.25">
      <c r="A592" t="s">
        <v>603</v>
      </c>
      <c r="B592" s="2">
        <v>45149</v>
      </c>
      <c r="C592" t="s">
        <v>616</v>
      </c>
      <c r="D592" t="s">
        <v>618</v>
      </c>
      <c r="E592" t="s">
        <v>621</v>
      </c>
      <c r="F592" t="s">
        <v>626</v>
      </c>
      <c r="G592" t="s">
        <v>633</v>
      </c>
      <c r="H592">
        <v>5</v>
      </c>
      <c r="I592" s="35">
        <v>456242</v>
      </c>
      <c r="J592" s="35">
        <v>2281210</v>
      </c>
      <c r="K592" s="35">
        <v>1175610.3081689919</v>
      </c>
      <c r="L592" s="35">
        <v>239549.5610922348</v>
      </c>
      <c r="M592" s="35">
        <v>2041660.4389077651</v>
      </c>
      <c r="N592" s="35">
        <v>866050.13073877315</v>
      </c>
    </row>
    <row r="593" spans="1:14" x14ac:dyDescent="0.25">
      <c r="A593" t="s">
        <v>604</v>
      </c>
      <c r="B593" s="2">
        <v>45560</v>
      </c>
      <c r="C593" t="s">
        <v>614</v>
      </c>
      <c r="D593" t="s">
        <v>618</v>
      </c>
      <c r="E593" t="s">
        <v>623</v>
      </c>
      <c r="F593" t="s">
        <v>629</v>
      </c>
      <c r="G593" t="s">
        <v>631</v>
      </c>
      <c r="H593">
        <v>3</v>
      </c>
      <c r="I593" s="35">
        <v>380453</v>
      </c>
      <c r="J593" s="35">
        <v>1141359</v>
      </c>
      <c r="K593" s="35">
        <v>706887.03718361829</v>
      </c>
      <c r="L593" s="35">
        <v>161451.83032274811</v>
      </c>
      <c r="M593" s="35">
        <v>979907.16967725195</v>
      </c>
      <c r="N593" s="35">
        <v>273020.13249363366</v>
      </c>
    </row>
    <row r="594" spans="1:14" x14ac:dyDescent="0.25">
      <c r="A594" t="s">
        <v>605</v>
      </c>
      <c r="B594" s="2">
        <v>45059</v>
      </c>
      <c r="C594" t="s">
        <v>617</v>
      </c>
      <c r="D594" t="s">
        <v>619</v>
      </c>
      <c r="E594" t="s">
        <v>622</v>
      </c>
      <c r="F594" t="s">
        <v>625</v>
      </c>
      <c r="G594" t="s">
        <v>632</v>
      </c>
      <c r="H594">
        <v>6</v>
      </c>
      <c r="I594" s="35">
        <v>358071</v>
      </c>
      <c r="J594" s="35">
        <v>2148426</v>
      </c>
      <c r="K594" s="35">
        <v>1404022.6751324551</v>
      </c>
      <c r="L594" s="35">
        <v>108354.95330124231</v>
      </c>
      <c r="M594" s="35">
        <v>2040071.0466987579</v>
      </c>
      <c r="N594" s="35">
        <v>636048.37156630284</v>
      </c>
    </row>
    <row r="595" spans="1:14" x14ac:dyDescent="0.25">
      <c r="A595" t="s">
        <v>606</v>
      </c>
      <c r="B595" s="2">
        <v>45089</v>
      </c>
      <c r="C595" t="s">
        <v>613</v>
      </c>
      <c r="D595" t="s">
        <v>618</v>
      </c>
      <c r="E595" t="s">
        <v>623</v>
      </c>
      <c r="F595" t="s">
        <v>627</v>
      </c>
      <c r="G595" t="s">
        <v>631</v>
      </c>
      <c r="H595">
        <v>6</v>
      </c>
      <c r="I595" s="35">
        <v>256486</v>
      </c>
      <c r="J595" s="35">
        <v>1538916</v>
      </c>
      <c r="K595" s="35">
        <v>992582.79235297127</v>
      </c>
      <c r="L595" s="35">
        <v>137494.90206199861</v>
      </c>
      <c r="M595" s="35">
        <v>1401421.0979380009</v>
      </c>
      <c r="N595" s="35">
        <v>408838.30558502965</v>
      </c>
    </row>
    <row r="596" spans="1:14" x14ac:dyDescent="0.25">
      <c r="A596" t="s">
        <v>607</v>
      </c>
      <c r="B596" s="2">
        <v>45141</v>
      </c>
      <c r="C596" t="s">
        <v>613</v>
      </c>
      <c r="D596" t="s">
        <v>619</v>
      </c>
      <c r="E596" t="s">
        <v>623</v>
      </c>
      <c r="F596" t="s">
        <v>630</v>
      </c>
      <c r="G596" t="s">
        <v>632</v>
      </c>
      <c r="H596">
        <v>8</v>
      </c>
      <c r="I596" s="35">
        <v>355090</v>
      </c>
      <c r="J596" s="35">
        <v>2840720</v>
      </c>
      <c r="K596" s="35">
        <v>1746574.7349090769</v>
      </c>
      <c r="L596" s="35">
        <v>70137.300560958392</v>
      </c>
      <c r="M596" s="35">
        <v>2770582.6994390418</v>
      </c>
      <c r="N596" s="35">
        <v>1024007.9645299648</v>
      </c>
    </row>
    <row r="597" spans="1:14" x14ac:dyDescent="0.25">
      <c r="A597" t="s">
        <v>608</v>
      </c>
      <c r="B597" s="2">
        <v>45161</v>
      </c>
      <c r="C597" t="s">
        <v>617</v>
      </c>
      <c r="D597" t="s">
        <v>619</v>
      </c>
      <c r="E597" t="s">
        <v>624</v>
      </c>
      <c r="F597" t="s">
        <v>625</v>
      </c>
      <c r="G597" t="s">
        <v>631</v>
      </c>
      <c r="H597">
        <v>2</v>
      </c>
      <c r="I597" s="35">
        <v>438647</v>
      </c>
      <c r="J597" s="35">
        <v>877294</v>
      </c>
      <c r="K597" s="35">
        <v>659500.48531424685</v>
      </c>
      <c r="L597" s="35">
        <v>36141.009918928648</v>
      </c>
      <c r="M597" s="35">
        <v>841152.99008107139</v>
      </c>
      <c r="N597" s="35">
        <v>181652.50476682454</v>
      </c>
    </row>
    <row r="598" spans="1:14" x14ac:dyDescent="0.25">
      <c r="A598" t="s">
        <v>609</v>
      </c>
      <c r="B598" s="2">
        <v>45584</v>
      </c>
      <c r="C598" t="s">
        <v>614</v>
      </c>
      <c r="D598" t="s">
        <v>619</v>
      </c>
      <c r="E598" t="s">
        <v>623</v>
      </c>
      <c r="F598" t="s">
        <v>629</v>
      </c>
      <c r="G598" t="s">
        <v>633</v>
      </c>
      <c r="H598">
        <v>1</v>
      </c>
      <c r="I598" s="35">
        <v>499777</v>
      </c>
      <c r="J598" s="35">
        <v>499777</v>
      </c>
      <c r="K598" s="35">
        <v>271677.78150735272</v>
      </c>
      <c r="L598" s="35">
        <v>94.299450442172358</v>
      </c>
      <c r="M598" s="35">
        <v>499682.70054955781</v>
      </c>
      <c r="N598" s="35">
        <v>228004.91904220509</v>
      </c>
    </row>
    <row r="599" spans="1:14" x14ac:dyDescent="0.25">
      <c r="A599" t="s">
        <v>610</v>
      </c>
      <c r="B599" s="2">
        <v>45514</v>
      </c>
      <c r="C599" t="s">
        <v>614</v>
      </c>
      <c r="D599" t="s">
        <v>619</v>
      </c>
      <c r="E599" t="s">
        <v>624</v>
      </c>
      <c r="F599" t="s">
        <v>626</v>
      </c>
      <c r="G599" t="s">
        <v>633</v>
      </c>
      <c r="H599">
        <v>4</v>
      </c>
      <c r="I599" s="35">
        <v>191449</v>
      </c>
      <c r="J599" s="35">
        <v>765796</v>
      </c>
      <c r="K599" s="35">
        <v>499076.16308024043</v>
      </c>
      <c r="L599" s="35">
        <v>6013.8038984674822</v>
      </c>
      <c r="M599" s="35">
        <v>759782.19610153255</v>
      </c>
      <c r="N599" s="35">
        <v>260706.03302129213</v>
      </c>
    </row>
    <row r="600" spans="1:14" x14ac:dyDescent="0.25">
      <c r="A600" t="s">
        <v>611</v>
      </c>
      <c r="B600" s="2">
        <v>44935</v>
      </c>
      <c r="C600" t="s">
        <v>616</v>
      </c>
      <c r="D600" t="s">
        <v>619</v>
      </c>
      <c r="E600" t="s">
        <v>620</v>
      </c>
      <c r="F600" t="s">
        <v>625</v>
      </c>
      <c r="G600" t="s">
        <v>633</v>
      </c>
      <c r="H600">
        <v>7</v>
      </c>
      <c r="I600" s="35">
        <v>103592</v>
      </c>
      <c r="J600" s="35">
        <v>725144</v>
      </c>
      <c r="K600" s="35">
        <v>376068.68837726308</v>
      </c>
      <c r="L600" s="35">
        <v>141734.30013476219</v>
      </c>
      <c r="M600" s="35">
        <v>583409.69986523781</v>
      </c>
      <c r="N600" s="35">
        <v>207341.01148797473</v>
      </c>
    </row>
    <row r="601" spans="1:14" x14ac:dyDescent="0.25">
      <c r="A601" t="s">
        <v>612</v>
      </c>
      <c r="B601" s="2">
        <v>45000</v>
      </c>
      <c r="C601" t="s">
        <v>616</v>
      </c>
      <c r="D601" t="s">
        <v>619</v>
      </c>
      <c r="E601" t="s">
        <v>624</v>
      </c>
      <c r="F601" t="s">
        <v>627</v>
      </c>
      <c r="G601" t="s">
        <v>632</v>
      </c>
      <c r="H601">
        <v>3</v>
      </c>
      <c r="I601" s="35">
        <v>188419</v>
      </c>
      <c r="J601" s="35">
        <v>565257</v>
      </c>
      <c r="K601" s="35">
        <v>294694.87367264723</v>
      </c>
      <c r="L601" s="35">
        <v>27398.424530384171</v>
      </c>
      <c r="M601" s="35">
        <v>537858.57546961587</v>
      </c>
      <c r="N601" s="35">
        <v>243163.70179696864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18470-7154-4335-9225-342BA26AF28A}">
  <sheetPr>
    <tabColor rgb="FFFFC000"/>
  </sheetPr>
  <dimension ref="A1:AD46"/>
  <sheetViews>
    <sheetView showGridLines="0" zoomScale="60" zoomScaleNormal="60" workbookViewId="0">
      <selection activeCell="L12" sqref="L12"/>
    </sheetView>
  </sheetViews>
  <sheetFormatPr defaultColWidth="0" defaultRowHeight="15" zeroHeight="1" x14ac:dyDescent="0.25"/>
  <cols>
    <col min="1" max="30" width="9.140625" style="19" customWidth="1"/>
    <col min="31" max="16384" width="9.140625" style="19"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674F-5FF2-407C-8E24-763010456F56}">
  <sheetPr>
    <tabColor theme="9" tint="-0.249977111117893"/>
  </sheetPr>
  <dimension ref="A1:AF50"/>
  <sheetViews>
    <sheetView showGridLines="0" zoomScale="57" zoomScaleNormal="57" workbookViewId="0">
      <selection activeCell="L35" sqref="L35"/>
    </sheetView>
  </sheetViews>
  <sheetFormatPr defaultColWidth="0" defaultRowHeight="15" zeroHeight="1" x14ac:dyDescent="0.25"/>
  <cols>
    <col min="1" max="2" width="9.140625" style="19" customWidth="1"/>
    <col min="3" max="3" width="13" style="19" customWidth="1"/>
    <col min="4" max="32" width="9.140625" style="19" customWidth="1"/>
    <col min="33" max="33" width="9.140625" style="19" hidden="1" customWidth="1"/>
    <col min="34" max="16384" width="9.140625" style="19" hidden="1"/>
  </cols>
  <sheetData>
    <row r="1" spans="8:8" x14ac:dyDescent="0.25"/>
    <row r="2" spans="8:8" x14ac:dyDescent="0.25"/>
    <row r="3" spans="8:8" x14ac:dyDescent="0.25"/>
    <row r="4" spans="8:8" x14ac:dyDescent="0.25"/>
    <row r="5" spans="8:8" x14ac:dyDescent="0.25"/>
    <row r="6" spans="8:8" x14ac:dyDescent="0.25"/>
    <row r="7" spans="8:8" x14ac:dyDescent="0.25"/>
    <row r="8" spans="8:8" x14ac:dyDescent="0.25"/>
    <row r="9" spans="8:8" x14ac:dyDescent="0.25"/>
    <row r="10" spans="8:8" x14ac:dyDescent="0.25"/>
    <row r="11" spans="8:8" x14ac:dyDescent="0.25"/>
    <row r="12" spans="8:8" x14ac:dyDescent="0.25"/>
    <row r="13" spans="8:8" x14ac:dyDescent="0.25"/>
    <row r="14" spans="8:8" x14ac:dyDescent="0.25">
      <c r="H14" s="26"/>
    </row>
    <row r="15" spans="8:8" x14ac:dyDescent="0.25"/>
    <row r="16" spans="8:8" x14ac:dyDescent="0.25">
      <c r="H16" s="19" t="s">
        <v>665</v>
      </c>
    </row>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50" spans="15:15" hidden="1" x14ac:dyDescent="0.25">
      <c r="O50" s="19" t="s">
        <v>665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0910F-23E0-4199-89D1-79D1B09E2324}">
  <sheetPr>
    <tabColor rgb="FF0070C0"/>
  </sheetPr>
  <dimension ref="A21:M96"/>
  <sheetViews>
    <sheetView showGridLines="0" zoomScaleNormal="100" workbookViewId="0">
      <selection activeCell="B25" sqref="B25"/>
    </sheetView>
  </sheetViews>
  <sheetFormatPr defaultRowHeight="15" x14ac:dyDescent="0.25"/>
  <cols>
    <col min="1" max="1" width="6.42578125" style="39" customWidth="1"/>
    <col min="2" max="2" width="138.140625" style="31" customWidth="1"/>
    <col min="3" max="3" width="11.28515625" style="31" bestFit="1" customWidth="1"/>
    <col min="4" max="6" width="12.7109375" style="31" bestFit="1" customWidth="1"/>
    <col min="7" max="7" width="19.42578125" style="31" bestFit="1" customWidth="1"/>
    <col min="8" max="8" width="11.28515625" style="31" bestFit="1" customWidth="1"/>
    <col min="9" max="9" width="12.7109375" style="31" bestFit="1" customWidth="1"/>
    <col min="10" max="10" width="11.28515625" style="31" bestFit="1" customWidth="1"/>
    <col min="11" max="11" width="12.7109375" style="31" bestFit="1" customWidth="1"/>
    <col min="12" max="12" width="15.5703125" style="31" bestFit="1" customWidth="1"/>
    <col min="13" max="13" width="15.42578125" style="31" bestFit="1" customWidth="1"/>
    <col min="14" max="14" width="20" style="31" bestFit="1" customWidth="1"/>
    <col min="15" max="15" width="14.28515625" style="31" bestFit="1" customWidth="1"/>
    <col min="16" max="16" width="19.42578125" style="31" bestFit="1" customWidth="1"/>
    <col min="17" max="16384" width="9.140625" style="31"/>
  </cols>
  <sheetData>
    <row r="21" spans="1:4" ht="28.5" x14ac:dyDescent="0.45">
      <c r="B21" s="34" t="s">
        <v>725</v>
      </c>
    </row>
    <row r="22" spans="1:4" ht="16.5" x14ac:dyDescent="0.3">
      <c r="B22" s="38" t="s">
        <v>723</v>
      </c>
      <c r="C22" s="30"/>
      <c r="D22" s="30"/>
    </row>
    <row r="23" spans="1:4" ht="8.25" customHeight="1" x14ac:dyDescent="0.3">
      <c r="B23" s="38"/>
      <c r="C23" s="30"/>
      <c r="D23" s="30"/>
    </row>
    <row r="24" spans="1:4" ht="16.5" x14ac:dyDescent="0.3">
      <c r="A24" s="38">
        <v>1</v>
      </c>
      <c r="B24" s="38" t="s">
        <v>760</v>
      </c>
      <c r="C24" s="30"/>
      <c r="D24" s="30"/>
    </row>
    <row r="25" spans="1:4" ht="16.5" x14ac:dyDescent="0.3">
      <c r="A25" s="38">
        <v>2</v>
      </c>
      <c r="B25" s="38" t="s">
        <v>662</v>
      </c>
      <c r="C25" s="30"/>
      <c r="D25" s="30"/>
    </row>
    <row r="26" spans="1:4" ht="16.5" x14ac:dyDescent="0.3">
      <c r="A26" s="38">
        <v>3</v>
      </c>
      <c r="B26" s="30" t="s">
        <v>666</v>
      </c>
      <c r="C26" s="30"/>
      <c r="D26" s="30"/>
    </row>
    <row r="27" spans="1:4" ht="49.5" x14ac:dyDescent="0.3">
      <c r="A27" s="40">
        <v>4</v>
      </c>
      <c r="B27" s="38" t="s">
        <v>667</v>
      </c>
      <c r="C27" s="30"/>
      <c r="D27" s="30"/>
    </row>
    <row r="28" spans="1:4" ht="33" x14ac:dyDescent="0.3">
      <c r="A28" s="40">
        <v>5</v>
      </c>
      <c r="B28" s="38" t="s">
        <v>724</v>
      </c>
      <c r="C28" s="30"/>
      <c r="D28" s="30"/>
    </row>
    <row r="29" spans="1:4" ht="16.5" x14ac:dyDescent="0.3">
      <c r="A29" s="38">
        <v>6</v>
      </c>
      <c r="B29" s="30" t="s">
        <v>761</v>
      </c>
    </row>
    <row r="30" spans="1:4" ht="16.5" x14ac:dyDescent="0.25">
      <c r="A30" s="40">
        <v>7</v>
      </c>
      <c r="B30" s="40" t="s">
        <v>762</v>
      </c>
    </row>
    <row r="31" spans="1:4" ht="16.5" x14ac:dyDescent="0.3">
      <c r="A31" s="38">
        <v>8</v>
      </c>
      <c r="B31" s="30" t="s">
        <v>763</v>
      </c>
    </row>
    <row r="32" spans="1:4" ht="49.5" x14ac:dyDescent="0.25">
      <c r="A32" s="40">
        <v>9</v>
      </c>
      <c r="B32" s="40" t="s">
        <v>764</v>
      </c>
    </row>
    <row r="33" spans="1:2" ht="16.5" x14ac:dyDescent="0.3">
      <c r="A33" s="38">
        <v>10</v>
      </c>
      <c r="B33" s="30" t="s">
        <v>717</v>
      </c>
    </row>
    <row r="34" spans="1:2" ht="16.5" x14ac:dyDescent="0.3">
      <c r="A34" s="38">
        <v>11</v>
      </c>
      <c r="B34" s="30" t="s">
        <v>718</v>
      </c>
    </row>
    <row r="38" spans="1:2" ht="28.5" x14ac:dyDescent="0.45">
      <c r="B38" s="34" t="s">
        <v>765</v>
      </c>
    </row>
    <row r="39" spans="1:2" ht="21" x14ac:dyDescent="0.35">
      <c r="A39" s="41">
        <v>1</v>
      </c>
      <c r="B39" s="41" t="s">
        <v>726</v>
      </c>
    </row>
    <row r="40" spans="1:2" ht="16.5" x14ac:dyDescent="0.3">
      <c r="B40" s="30" t="s">
        <v>727</v>
      </c>
    </row>
    <row r="41" spans="1:2" x14ac:dyDescent="0.25">
      <c r="B41" s="31" t="s">
        <v>728</v>
      </c>
    </row>
    <row r="42" spans="1:2" x14ac:dyDescent="0.25">
      <c r="B42" s="31" t="s">
        <v>729</v>
      </c>
    </row>
    <row r="43" spans="1:2" x14ac:dyDescent="0.25">
      <c r="B43" s="31" t="s">
        <v>730</v>
      </c>
    </row>
    <row r="45" spans="1:2" ht="21" x14ac:dyDescent="0.35">
      <c r="A45" s="41">
        <v>2</v>
      </c>
      <c r="B45" s="41" t="s">
        <v>731</v>
      </c>
    </row>
    <row r="46" spans="1:2" ht="16.5" x14ac:dyDescent="0.3">
      <c r="B46" s="30" t="s">
        <v>727</v>
      </c>
    </row>
    <row r="47" spans="1:2" x14ac:dyDescent="0.25">
      <c r="B47" s="31" t="s">
        <v>732</v>
      </c>
    </row>
    <row r="48" spans="1:2" x14ac:dyDescent="0.25">
      <c r="B48" s="31" t="s">
        <v>733</v>
      </c>
    </row>
    <row r="49" spans="1:2" x14ac:dyDescent="0.25">
      <c r="B49" s="31" t="s">
        <v>734</v>
      </c>
    </row>
    <row r="50" spans="1:2" ht="42" x14ac:dyDescent="0.25">
      <c r="A50" s="42">
        <v>3</v>
      </c>
      <c r="B50" s="42" t="s">
        <v>735</v>
      </c>
    </row>
    <row r="51" spans="1:2" ht="16.5" x14ac:dyDescent="0.3">
      <c r="B51" s="30" t="s">
        <v>727</v>
      </c>
    </row>
    <row r="52" spans="1:2" x14ac:dyDescent="0.25">
      <c r="B52" s="31" t="s">
        <v>736</v>
      </c>
    </row>
    <row r="53" spans="1:2" x14ac:dyDescent="0.25">
      <c r="B53" s="31" t="s">
        <v>737</v>
      </c>
    </row>
    <row r="54" spans="1:2" x14ac:dyDescent="0.25">
      <c r="B54" s="31" t="s">
        <v>738</v>
      </c>
    </row>
    <row r="56" spans="1:2" ht="21" x14ac:dyDescent="0.25">
      <c r="A56" s="42">
        <v>4</v>
      </c>
      <c r="B56" s="42" t="s">
        <v>739</v>
      </c>
    </row>
    <row r="57" spans="1:2" x14ac:dyDescent="0.25">
      <c r="B57" s="31" t="s">
        <v>740</v>
      </c>
    </row>
    <row r="58" spans="1:2" ht="16.5" x14ac:dyDescent="0.3">
      <c r="B58" s="30" t="s">
        <v>727</v>
      </c>
    </row>
    <row r="59" spans="1:2" ht="16.5" x14ac:dyDescent="0.3">
      <c r="A59" s="38"/>
      <c r="B59" s="31" t="s">
        <v>741</v>
      </c>
    </row>
    <row r="60" spans="1:2" x14ac:dyDescent="0.25">
      <c r="B60" s="31" t="s">
        <v>742</v>
      </c>
    </row>
    <row r="61" spans="1:2" x14ac:dyDescent="0.25">
      <c r="B61" s="31" t="s">
        <v>743</v>
      </c>
    </row>
    <row r="64" spans="1:2" ht="42" x14ac:dyDescent="0.25">
      <c r="A64" s="42">
        <v>5</v>
      </c>
      <c r="B64" s="42" t="s">
        <v>744</v>
      </c>
    </row>
    <row r="67" spans="1:13" ht="21" x14ac:dyDescent="0.25">
      <c r="A67" s="42">
        <v>6</v>
      </c>
      <c r="B67" s="42" t="s">
        <v>746</v>
      </c>
    </row>
    <row r="68" spans="1:13" x14ac:dyDescent="0.25">
      <c r="B68" s="31" t="s">
        <v>745</v>
      </c>
    </row>
    <row r="69" spans="1:13" ht="16.5" x14ac:dyDescent="0.3">
      <c r="B69" s="30" t="s">
        <v>727</v>
      </c>
    </row>
    <row r="70" spans="1:13" x14ac:dyDescent="0.25">
      <c r="B70" s="31" t="s">
        <v>747</v>
      </c>
    </row>
    <row r="71" spans="1:13" x14ac:dyDescent="0.25">
      <c r="B71" s="31" t="s">
        <v>748</v>
      </c>
    </row>
    <row r="72" spans="1:13" x14ac:dyDescent="0.25">
      <c r="B72" s="31" t="s">
        <v>749</v>
      </c>
    </row>
    <row r="75" spans="1:13" ht="21" x14ac:dyDescent="0.25">
      <c r="A75" s="42">
        <v>7</v>
      </c>
      <c r="B75" s="42" t="s">
        <v>750</v>
      </c>
    </row>
    <row r="76" spans="1:13" ht="33.75" customHeight="1" x14ac:dyDescent="0.25">
      <c r="B76" s="44" t="s">
        <v>751</v>
      </c>
      <c r="J76" s="32"/>
    </row>
    <row r="77" spans="1:13" ht="16.5" x14ac:dyDescent="0.3">
      <c r="B77" s="30" t="s">
        <v>727</v>
      </c>
      <c r="M77" s="33"/>
    </row>
    <row r="78" spans="1:13" x14ac:dyDescent="0.25">
      <c r="B78" s="31" t="s">
        <v>752</v>
      </c>
      <c r="C78" s="33"/>
    </row>
    <row r="79" spans="1:13" x14ac:dyDescent="0.25">
      <c r="B79" s="31" t="s">
        <v>753</v>
      </c>
    </row>
    <row r="80" spans="1:13" x14ac:dyDescent="0.25">
      <c r="B80" s="31" t="s">
        <v>754</v>
      </c>
    </row>
    <row r="83" spans="1:7" ht="21" x14ac:dyDescent="0.25">
      <c r="A83" s="42">
        <v>8</v>
      </c>
      <c r="B83" s="42" t="s">
        <v>755</v>
      </c>
    </row>
    <row r="84" spans="1:7" ht="30" x14ac:dyDescent="0.25">
      <c r="B84" s="43" t="s">
        <v>756</v>
      </c>
    </row>
    <row r="85" spans="1:7" ht="16.5" x14ac:dyDescent="0.3">
      <c r="B85" s="30" t="s">
        <v>727</v>
      </c>
    </row>
    <row r="86" spans="1:7" x14ac:dyDescent="0.25">
      <c r="B86" s="31" t="s">
        <v>757</v>
      </c>
    </row>
    <row r="87" spans="1:7" x14ac:dyDescent="0.25">
      <c r="B87" s="31" t="s">
        <v>758</v>
      </c>
    </row>
    <row r="88" spans="1:7" x14ac:dyDescent="0.25">
      <c r="B88" s="31" t="s">
        <v>759</v>
      </c>
    </row>
    <row r="95" spans="1:7" x14ac:dyDescent="0.25">
      <c r="D95" s="32"/>
    </row>
    <row r="96" spans="1:7" x14ac:dyDescent="0.25">
      <c r="G96" s="3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510A8-F169-4642-892C-AC183A93DA5F}">
  <sheetPr>
    <tabColor rgb="FFFF0000"/>
  </sheetPr>
  <dimension ref="A2:J55"/>
  <sheetViews>
    <sheetView showGridLines="0" zoomScale="82" zoomScaleNormal="82" workbookViewId="0">
      <selection activeCell="B6" sqref="B6"/>
    </sheetView>
  </sheetViews>
  <sheetFormatPr defaultRowHeight="15" x14ac:dyDescent="0.25"/>
  <cols>
    <col min="1" max="1" width="28.7109375" bestFit="1" customWidth="1"/>
    <col min="2" max="3" width="10.5703125" bestFit="1" customWidth="1"/>
    <col min="4" max="4" width="9.5703125" bestFit="1" customWidth="1"/>
    <col min="5" max="5" width="17.28515625" bestFit="1" customWidth="1"/>
    <col min="6" max="6" width="5.42578125" bestFit="1" customWidth="1"/>
    <col min="7" max="7" width="17.28515625" bestFit="1" customWidth="1"/>
    <col min="8" max="8" width="5.42578125" bestFit="1" customWidth="1"/>
    <col min="9" max="9" width="10.5703125" bestFit="1" customWidth="1"/>
    <col min="10" max="11" width="11.28515625" bestFit="1" customWidth="1"/>
    <col min="12" max="12" width="19.5703125" bestFit="1" customWidth="1"/>
    <col min="13" max="13" width="5" bestFit="1" customWidth="1"/>
    <col min="14" max="14" width="28.7109375" bestFit="1" customWidth="1"/>
    <col min="15" max="15" width="10.5703125" bestFit="1" customWidth="1"/>
    <col min="16" max="16" width="6.5703125" bestFit="1" customWidth="1"/>
    <col min="17" max="17" width="11.28515625" bestFit="1" customWidth="1"/>
    <col min="18" max="18" width="20" bestFit="1" customWidth="1"/>
    <col min="19" max="19" width="16.28515625" bestFit="1" customWidth="1"/>
    <col min="20" max="24" width="12" bestFit="1" customWidth="1"/>
  </cols>
  <sheetData>
    <row r="2" spans="1:10" x14ac:dyDescent="0.25">
      <c r="A2" s="20" t="s">
        <v>677</v>
      </c>
      <c r="G2" s="20" t="s">
        <v>683</v>
      </c>
    </row>
    <row r="3" spans="1:10" x14ac:dyDescent="0.25">
      <c r="A3" s="3" t="s">
        <v>680</v>
      </c>
      <c r="B3" t="s">
        <v>656</v>
      </c>
      <c r="G3" s="3" t="s">
        <v>682</v>
      </c>
      <c r="H3" s="3" t="s">
        <v>663</v>
      </c>
    </row>
    <row r="4" spans="1:10" x14ac:dyDescent="0.25">
      <c r="A4" s="4" t="s">
        <v>654</v>
      </c>
      <c r="B4" s="17">
        <v>354263853.5808177</v>
      </c>
      <c r="G4" s="3" t="s">
        <v>681</v>
      </c>
      <c r="H4" t="s">
        <v>654</v>
      </c>
      <c r="I4" t="s">
        <v>655</v>
      </c>
      <c r="J4" t="s">
        <v>635</v>
      </c>
    </row>
    <row r="5" spans="1:10" x14ac:dyDescent="0.25">
      <c r="A5" s="4" t="s">
        <v>655</v>
      </c>
      <c r="B5" s="17">
        <v>403702497.5677253</v>
      </c>
      <c r="G5" s="4" t="s">
        <v>645</v>
      </c>
      <c r="H5" s="17">
        <v>29332977.643531803</v>
      </c>
      <c r="I5" s="17">
        <v>48527492.281572171</v>
      </c>
      <c r="J5" s="17">
        <v>77860469.925103977</v>
      </c>
    </row>
    <row r="6" spans="1:10" x14ac:dyDescent="0.25">
      <c r="A6" s="4" t="s">
        <v>635</v>
      </c>
      <c r="B6" s="17">
        <v>757966351.148543</v>
      </c>
      <c r="G6" s="4" t="s">
        <v>652</v>
      </c>
      <c r="H6" s="17">
        <v>23812980.198615629</v>
      </c>
      <c r="I6" s="17">
        <v>53286899.369921923</v>
      </c>
      <c r="J6" s="17">
        <v>77099879.568537548</v>
      </c>
    </row>
    <row r="7" spans="1:10" x14ac:dyDescent="0.25">
      <c r="G7" s="4" t="s">
        <v>648</v>
      </c>
      <c r="H7" s="17">
        <v>33807117.191036433</v>
      </c>
      <c r="I7" s="17">
        <v>43022059.673275158</v>
      </c>
      <c r="J7" s="17">
        <v>76829176.864311591</v>
      </c>
    </row>
    <row r="8" spans="1:10" x14ac:dyDescent="0.25">
      <c r="G8" s="4" t="s">
        <v>642</v>
      </c>
      <c r="H8" s="17">
        <v>35190351.368664369</v>
      </c>
      <c r="I8" s="17">
        <v>34005110.810946889</v>
      </c>
      <c r="J8" s="17">
        <v>69195462.179611266</v>
      </c>
    </row>
    <row r="9" spans="1:10" x14ac:dyDescent="0.25">
      <c r="G9" s="4" t="s">
        <v>643</v>
      </c>
      <c r="H9" s="17">
        <v>34363259.010192893</v>
      </c>
      <c r="I9" s="17">
        <v>34058556.472710803</v>
      </c>
      <c r="J9" s="17">
        <v>68421815.482903689</v>
      </c>
    </row>
    <row r="10" spans="1:10" x14ac:dyDescent="0.25">
      <c r="A10" s="20"/>
      <c r="G10" s="4" t="s">
        <v>649</v>
      </c>
      <c r="H10" s="17">
        <v>45868349.787091024</v>
      </c>
      <c r="I10" s="17">
        <v>20658433.14616245</v>
      </c>
      <c r="J10" s="17">
        <v>66526782.933253475</v>
      </c>
    </row>
    <row r="11" spans="1:10" x14ac:dyDescent="0.25">
      <c r="A11" s="3" t="s">
        <v>679</v>
      </c>
      <c r="B11" s="3" t="s">
        <v>663</v>
      </c>
      <c r="G11" s="4" t="s">
        <v>650</v>
      </c>
      <c r="H11" s="17">
        <v>31177115.376729812</v>
      </c>
      <c r="I11" s="17">
        <v>32666766.733091809</v>
      </c>
      <c r="J11" s="17">
        <v>63843882.109821618</v>
      </c>
    </row>
    <row r="12" spans="1:10" x14ac:dyDescent="0.25">
      <c r="A12" s="18" t="s">
        <v>660</v>
      </c>
      <c r="B12" s="13" t="s">
        <v>654</v>
      </c>
      <c r="C12" s="13" t="s">
        <v>655</v>
      </c>
      <c r="D12" s="14" t="s">
        <v>664</v>
      </c>
      <c r="G12" s="4" t="s">
        <v>646</v>
      </c>
      <c r="H12" s="17">
        <v>27115996.111660276</v>
      </c>
      <c r="I12" s="17">
        <v>34325054.39112705</v>
      </c>
      <c r="J12" s="17">
        <v>61441050.502787322</v>
      </c>
    </row>
    <row r="13" spans="1:10" x14ac:dyDescent="0.25">
      <c r="A13" s="4" t="s">
        <v>630</v>
      </c>
      <c r="B13" s="17">
        <v>69919562.519334733</v>
      </c>
      <c r="C13" s="17">
        <v>73377437.664448515</v>
      </c>
      <c r="D13" s="11">
        <f t="shared" ref="D13:D19" si="0">(C13-B13)/B13</f>
        <v>4.9455045491132485E-2</v>
      </c>
      <c r="G13" s="4" t="s">
        <v>651</v>
      </c>
      <c r="H13" s="17">
        <v>22683707.382412273</v>
      </c>
      <c r="I13" s="17">
        <v>36655361.421738222</v>
      </c>
      <c r="J13" s="17">
        <v>59339068.804150492</v>
      </c>
    </row>
    <row r="14" spans="1:10" x14ac:dyDescent="0.25">
      <c r="A14" s="4" t="s">
        <v>626</v>
      </c>
      <c r="B14" s="17">
        <v>72576871.871324301</v>
      </c>
      <c r="C14" s="17">
        <v>62818362.563717507</v>
      </c>
      <c r="D14" s="11">
        <f t="shared" si="0"/>
        <v>-0.13445756280193799</v>
      </c>
      <c r="G14" s="4" t="s">
        <v>653</v>
      </c>
      <c r="H14" s="17">
        <v>27614346.715850279</v>
      </c>
      <c r="I14" s="17">
        <v>26074962.510106295</v>
      </c>
      <c r="J14" s="17">
        <v>53689309.225956574</v>
      </c>
    </row>
    <row r="15" spans="1:10" x14ac:dyDescent="0.25">
      <c r="A15" s="4" t="s">
        <v>625</v>
      </c>
      <c r="B15" s="17">
        <v>52500695.847243279</v>
      </c>
      <c r="C15" s="17">
        <v>82623704.063433394</v>
      </c>
      <c r="D15" s="11">
        <f t="shared" si="0"/>
        <v>0.57376398026868858</v>
      </c>
      <c r="G15" s="4" t="s">
        <v>644</v>
      </c>
      <c r="H15" s="17">
        <v>18047161.145859759</v>
      </c>
      <c r="I15" s="17">
        <v>28533026.044719771</v>
      </c>
      <c r="J15" s="17">
        <v>46580187.190579534</v>
      </c>
    </row>
    <row r="16" spans="1:10" x14ac:dyDescent="0.25">
      <c r="A16" s="4" t="s">
        <v>628</v>
      </c>
      <c r="B16" s="17">
        <v>58118932.891877748</v>
      </c>
      <c r="C16" s="17">
        <v>75438536.785400182</v>
      </c>
      <c r="D16" s="11">
        <f t="shared" si="0"/>
        <v>0.29800278552503995</v>
      </c>
      <c r="G16" s="4" t="s">
        <v>647</v>
      </c>
      <c r="H16" s="17">
        <v>25250491.6491731</v>
      </c>
      <c r="I16" s="17">
        <v>11888774.712352863</v>
      </c>
      <c r="J16" s="17">
        <v>37139266.36152596</v>
      </c>
    </row>
    <row r="17" spans="1:10" x14ac:dyDescent="0.25">
      <c r="A17" s="4" t="s">
        <v>627</v>
      </c>
      <c r="B17" s="17">
        <v>54814179.126057528</v>
      </c>
      <c r="C17" s="17">
        <v>56498235.776784129</v>
      </c>
      <c r="D17" s="11">
        <f t="shared" si="0"/>
        <v>3.0723011410126833E-2</v>
      </c>
      <c r="G17" s="4" t="s">
        <v>635</v>
      </c>
      <c r="H17" s="17">
        <v>354263853.58081764</v>
      </c>
      <c r="I17" s="17">
        <v>403702497.56772542</v>
      </c>
      <c r="J17" s="17">
        <v>757966351.148543</v>
      </c>
    </row>
    <row r="18" spans="1:10" x14ac:dyDescent="0.25">
      <c r="A18" s="4" t="s">
        <v>629</v>
      </c>
      <c r="B18" s="17">
        <v>46333611.324980058</v>
      </c>
      <c r="C18" s="17">
        <v>52946220.713941664</v>
      </c>
      <c r="D18" s="11">
        <f t="shared" si="0"/>
        <v>0.14271733197270808</v>
      </c>
    </row>
    <row r="19" spans="1:10" x14ac:dyDescent="0.25">
      <c r="A19" s="4" t="s">
        <v>635</v>
      </c>
      <c r="B19" s="17">
        <v>354263853.58081764</v>
      </c>
      <c r="C19" s="17">
        <v>403702497.56772542</v>
      </c>
      <c r="D19" s="12">
        <f t="shared" si="0"/>
        <v>0.13955317057383451</v>
      </c>
    </row>
    <row r="21" spans="1:10" x14ac:dyDescent="0.25">
      <c r="G21" s="20" t="s">
        <v>721</v>
      </c>
    </row>
    <row r="22" spans="1:10" x14ac:dyDescent="0.25">
      <c r="A22" s="21"/>
      <c r="G22" s="3" t="s">
        <v>720</v>
      </c>
      <c r="H22" s="3" t="s">
        <v>663</v>
      </c>
    </row>
    <row r="23" spans="1:10" x14ac:dyDescent="0.25">
      <c r="A23" s="3" t="s">
        <v>678</v>
      </c>
      <c r="B23" s="3" t="s">
        <v>663</v>
      </c>
      <c r="G23" s="3" t="s">
        <v>719</v>
      </c>
      <c r="H23" t="s">
        <v>655</v>
      </c>
    </row>
    <row r="24" spans="1:10" x14ac:dyDescent="0.25">
      <c r="A24" s="3" t="s">
        <v>2</v>
      </c>
      <c r="B24" t="s">
        <v>654</v>
      </c>
      <c r="C24" t="s">
        <v>655</v>
      </c>
      <c r="D24" s="14" t="s">
        <v>664</v>
      </c>
      <c r="G24" s="4" t="s">
        <v>625</v>
      </c>
      <c r="H24" s="17">
        <v>82623704.063433424</v>
      </c>
    </row>
    <row r="25" spans="1:10" x14ac:dyDescent="0.25">
      <c r="A25" s="4" t="s">
        <v>615</v>
      </c>
      <c r="B25" s="17">
        <v>77295078.795692831</v>
      </c>
      <c r="C25" s="17">
        <v>92300928.093072832</v>
      </c>
      <c r="D25" s="11">
        <f t="shared" ref="D25:D30" si="1">(C25-B25)/B25</f>
        <v>0.19413718869533234</v>
      </c>
      <c r="G25" s="4" t="s">
        <v>628</v>
      </c>
      <c r="H25" s="17">
        <v>75438536.785400182</v>
      </c>
    </row>
    <row r="26" spans="1:10" x14ac:dyDescent="0.25">
      <c r="A26" s="4" t="s">
        <v>616</v>
      </c>
      <c r="B26" s="17">
        <v>82022805.25349997</v>
      </c>
      <c r="C26" s="17">
        <v>72060102.915042773</v>
      </c>
      <c r="D26" s="11">
        <f t="shared" si="1"/>
        <v>-0.12146258967449887</v>
      </c>
      <c r="G26" s="4" t="s">
        <v>630</v>
      </c>
      <c r="H26" s="17">
        <v>73377437.6644485</v>
      </c>
    </row>
    <row r="27" spans="1:10" x14ac:dyDescent="0.25">
      <c r="A27" s="4" t="s">
        <v>613</v>
      </c>
      <c r="B27" s="17">
        <v>58911719.973842345</v>
      </c>
      <c r="C27" s="17">
        <v>74536857.644452468</v>
      </c>
      <c r="D27" s="11">
        <f t="shared" si="1"/>
        <v>0.26522969754656472</v>
      </c>
      <c r="G27" s="4" t="s">
        <v>626</v>
      </c>
      <c r="H27" s="17">
        <v>62818362.563717492</v>
      </c>
    </row>
    <row r="28" spans="1:10" x14ac:dyDescent="0.25">
      <c r="A28" s="4" t="s">
        <v>614</v>
      </c>
      <c r="B28" s="17">
        <v>68505986.194774345</v>
      </c>
      <c r="C28" s="17">
        <v>71916735.817499802</v>
      </c>
      <c r="D28" s="11">
        <f t="shared" si="1"/>
        <v>4.9787614370342861E-2</v>
      </c>
      <c r="G28" s="4" t="s">
        <v>627</v>
      </c>
      <c r="H28" s="17">
        <v>56498235.776784152</v>
      </c>
    </row>
    <row r="29" spans="1:10" x14ac:dyDescent="0.25">
      <c r="A29" s="4" t="s">
        <v>617</v>
      </c>
      <c r="B29" s="17">
        <v>67528263.363008171</v>
      </c>
      <c r="C29" s="17">
        <v>92887873.097657546</v>
      </c>
      <c r="D29" s="11">
        <f t="shared" si="1"/>
        <v>0.37554067692108473</v>
      </c>
      <c r="G29" s="4" t="s">
        <v>635</v>
      </c>
      <c r="H29" s="17">
        <v>350756276.85378373</v>
      </c>
    </row>
    <row r="30" spans="1:10" x14ac:dyDescent="0.25">
      <c r="A30" s="4" t="s">
        <v>635</v>
      </c>
      <c r="B30" s="17">
        <v>354263853.5808177</v>
      </c>
      <c r="C30" s="17">
        <v>403702497.56772542</v>
      </c>
      <c r="D30" s="12">
        <f t="shared" si="1"/>
        <v>0.13955317057383432</v>
      </c>
    </row>
    <row r="33" spans="1:8" x14ac:dyDescent="0.25">
      <c r="A33" s="3" t="s">
        <v>668</v>
      </c>
      <c r="B33" s="3" t="s">
        <v>663</v>
      </c>
    </row>
    <row r="34" spans="1:8" x14ac:dyDescent="0.25">
      <c r="A34" s="18" t="s">
        <v>4</v>
      </c>
      <c r="B34" s="13" t="s">
        <v>654</v>
      </c>
      <c r="C34" s="13" t="s">
        <v>655</v>
      </c>
      <c r="D34" s="14" t="s">
        <v>664</v>
      </c>
      <c r="G34" s="20" t="s">
        <v>722</v>
      </c>
    </row>
    <row r="35" spans="1:8" x14ac:dyDescent="0.25">
      <c r="A35" s="4" t="s">
        <v>623</v>
      </c>
      <c r="B35" s="17">
        <v>70549817.939857528</v>
      </c>
      <c r="C35" s="17">
        <v>92624518.149017274</v>
      </c>
      <c r="D35" s="11">
        <f t="shared" ref="D35:D40" si="2">(C35-B35)/B35</f>
        <v>0.31289521155076599</v>
      </c>
      <c r="H35" s="3" t="s">
        <v>663</v>
      </c>
    </row>
    <row r="36" spans="1:8" x14ac:dyDescent="0.25">
      <c r="A36" s="4" t="s">
        <v>620</v>
      </c>
      <c r="B36" s="17">
        <v>79305347.480691701</v>
      </c>
      <c r="C36" s="17">
        <v>80155754.4424261</v>
      </c>
      <c r="D36" s="11">
        <f t="shared" si="2"/>
        <v>1.0723198229998877E-2</v>
      </c>
      <c r="H36" t="s">
        <v>655</v>
      </c>
    </row>
    <row r="37" spans="1:8" x14ac:dyDescent="0.25">
      <c r="A37" s="4" t="s">
        <v>621</v>
      </c>
      <c r="B37" s="17">
        <v>66529830.501810111</v>
      </c>
      <c r="C37" s="17">
        <v>63370689.197618499</v>
      </c>
      <c r="D37" s="11">
        <f t="shared" si="2"/>
        <v>-4.74845836876987E-2</v>
      </c>
      <c r="G37" t="s">
        <v>698</v>
      </c>
      <c r="H37" s="36">
        <v>311</v>
      </c>
    </row>
    <row r="38" spans="1:8" x14ac:dyDescent="0.25">
      <c r="A38" s="4" t="s">
        <v>624</v>
      </c>
      <c r="B38" s="17">
        <v>60265744.32571312</v>
      </c>
      <c r="C38" s="17">
        <v>83186687.04606387</v>
      </c>
      <c r="D38" s="11">
        <f t="shared" si="2"/>
        <v>0.38033119771112239</v>
      </c>
    </row>
    <row r="39" spans="1:8" x14ac:dyDescent="0.25">
      <c r="A39" s="4" t="s">
        <v>622</v>
      </c>
      <c r="B39" s="17">
        <v>77613113.332745224</v>
      </c>
      <c r="C39" s="17">
        <v>84364848.732599676</v>
      </c>
      <c r="D39" s="11">
        <f t="shared" si="2"/>
        <v>8.6992198997458234E-2</v>
      </c>
    </row>
    <row r="40" spans="1:8" x14ac:dyDescent="0.25">
      <c r="A40" s="4" t="s">
        <v>635</v>
      </c>
      <c r="B40" s="17">
        <v>354263853.5808177</v>
      </c>
      <c r="C40" s="17">
        <v>403702497.56772536</v>
      </c>
      <c r="D40" s="12">
        <f t="shared" si="2"/>
        <v>0.13955317057383415</v>
      </c>
    </row>
    <row r="43" spans="1:8" x14ac:dyDescent="0.25">
      <c r="A43" s="21"/>
    </row>
    <row r="44" spans="1:8" x14ac:dyDescent="0.25">
      <c r="A44" s="3" t="s">
        <v>699</v>
      </c>
      <c r="B44" s="3" t="s">
        <v>663</v>
      </c>
    </row>
    <row r="45" spans="1:8" x14ac:dyDescent="0.25">
      <c r="A45" s="3" t="s">
        <v>684</v>
      </c>
      <c r="B45" t="s">
        <v>655</v>
      </c>
    </row>
    <row r="46" spans="1:8" x14ac:dyDescent="0.25">
      <c r="A46" s="4" t="s">
        <v>615</v>
      </c>
      <c r="B46" s="17">
        <v>92300928.093072832</v>
      </c>
    </row>
    <row r="47" spans="1:8" x14ac:dyDescent="0.25">
      <c r="A47" s="4" t="s">
        <v>616</v>
      </c>
      <c r="B47" s="17">
        <v>72060102.915042788</v>
      </c>
    </row>
    <row r="48" spans="1:8" x14ac:dyDescent="0.25">
      <c r="A48" s="4" t="s">
        <v>613</v>
      </c>
      <c r="B48" s="17">
        <v>74536857.644452482</v>
      </c>
    </row>
    <row r="49" spans="1:2" x14ac:dyDescent="0.25">
      <c r="A49" s="4" t="s">
        <v>614</v>
      </c>
      <c r="B49" s="17">
        <v>71916735.817499787</v>
      </c>
    </row>
    <row r="50" spans="1:2" x14ac:dyDescent="0.25">
      <c r="A50" s="4" t="s">
        <v>617</v>
      </c>
      <c r="B50" s="17">
        <v>92887873.097657531</v>
      </c>
    </row>
    <row r="51" spans="1:2" x14ac:dyDescent="0.25">
      <c r="A51" s="4" t="s">
        <v>635</v>
      </c>
      <c r="B51" s="17">
        <v>403702497.56772542</v>
      </c>
    </row>
    <row r="55" spans="1:2" x14ac:dyDescent="0.25">
      <c r="A55" s="2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2D76A-3EBC-4B56-AA97-C32B91A3D57E}">
  <sheetPr>
    <tabColor rgb="FFFFFF00"/>
  </sheetPr>
  <dimension ref="A5:S104"/>
  <sheetViews>
    <sheetView showGridLines="0" tabSelected="1" zoomScale="87" zoomScaleNormal="87" workbookViewId="0">
      <selection activeCell="I20" sqref="I20"/>
    </sheetView>
  </sheetViews>
  <sheetFormatPr defaultColWidth="13.28515625" defaultRowHeight="15" x14ac:dyDescent="0.25"/>
  <cols>
    <col min="1" max="1" width="9" bestFit="1" customWidth="1"/>
    <col min="2" max="3" width="5.7109375" bestFit="1" customWidth="1"/>
    <col min="4" max="4" width="10.7109375" bestFit="1" customWidth="1"/>
    <col min="6" max="6" width="15.85546875" bestFit="1" customWidth="1"/>
    <col min="7" max="7" width="16.7109375" bestFit="1" customWidth="1"/>
    <col min="8" max="8" width="5.7109375" bestFit="1" customWidth="1"/>
    <col min="9" max="9" width="13" bestFit="1" customWidth="1"/>
    <col min="10" max="10" width="11.42578125" bestFit="1" customWidth="1"/>
    <col min="11" max="11" width="11.85546875" bestFit="1" customWidth="1"/>
    <col min="12" max="13" width="11.42578125" bestFit="1" customWidth="1"/>
    <col min="14" max="14" width="10.7109375" bestFit="1" customWidth="1"/>
    <col min="16" max="17" width="11.42578125" bestFit="1" customWidth="1"/>
    <col min="18" max="18" width="13" bestFit="1" customWidth="1"/>
    <col min="19" max="22" width="11.42578125" bestFit="1" customWidth="1"/>
  </cols>
  <sheetData>
    <row r="5" spans="1:19" x14ac:dyDescent="0.25">
      <c r="A5" s="20" t="s">
        <v>690</v>
      </c>
      <c r="F5" s="20" t="s">
        <v>692</v>
      </c>
      <c r="K5" s="20" t="s">
        <v>685</v>
      </c>
      <c r="P5" s="20" t="s">
        <v>710</v>
      </c>
    </row>
    <row r="6" spans="1:19" x14ac:dyDescent="0.25">
      <c r="B6" s="3" t="s">
        <v>663</v>
      </c>
      <c r="F6" s="3" t="s">
        <v>641</v>
      </c>
      <c r="G6" s="3" t="s">
        <v>663</v>
      </c>
      <c r="K6" s="3" t="s">
        <v>636</v>
      </c>
      <c r="L6" s="3" t="s">
        <v>663</v>
      </c>
      <c r="P6" s="3" t="s">
        <v>636</v>
      </c>
      <c r="Q6" s="3" t="s">
        <v>663</v>
      </c>
    </row>
    <row r="7" spans="1:19" x14ac:dyDescent="0.25">
      <c r="B7" t="s">
        <v>654</v>
      </c>
      <c r="C7" t="s">
        <v>655</v>
      </c>
      <c r="D7" s="23" t="s">
        <v>669</v>
      </c>
      <c r="F7" s="3" t="s">
        <v>657</v>
      </c>
      <c r="G7" t="s">
        <v>654</v>
      </c>
      <c r="H7" t="s">
        <v>655</v>
      </c>
      <c r="I7" s="22" t="s">
        <v>669</v>
      </c>
      <c r="K7" s="3" t="s">
        <v>684</v>
      </c>
      <c r="L7" t="s">
        <v>654</v>
      </c>
      <c r="M7" t="s">
        <v>655</v>
      </c>
      <c r="N7" s="22" t="s">
        <v>669</v>
      </c>
      <c r="P7" s="3" t="s">
        <v>711</v>
      </c>
      <c r="Q7" t="s">
        <v>654</v>
      </c>
      <c r="R7" t="s">
        <v>655</v>
      </c>
      <c r="S7" s="22" t="s">
        <v>669</v>
      </c>
    </row>
    <row r="8" spans="1:19" x14ac:dyDescent="0.25">
      <c r="A8" t="s">
        <v>10</v>
      </c>
      <c r="B8" s="17">
        <v>254173176.61877832</v>
      </c>
      <c r="C8" s="17">
        <v>288977558.24675322</v>
      </c>
      <c r="D8" s="12">
        <f>(C8-B8)/B8</f>
        <v>0.1369317647557132</v>
      </c>
      <c r="F8" s="4" t="s">
        <v>615</v>
      </c>
      <c r="G8" s="17">
        <v>20681968.758708429</v>
      </c>
      <c r="H8" s="17">
        <v>24396373.274804726</v>
      </c>
      <c r="I8" s="11">
        <f t="shared" ref="I8:I13" si="0">(H8-G8)/G8</f>
        <v>0.17959627342209847</v>
      </c>
      <c r="K8" s="4" t="s">
        <v>617</v>
      </c>
      <c r="L8" s="17">
        <v>67528263.363008171</v>
      </c>
      <c r="M8" s="17">
        <v>92887873.097657546</v>
      </c>
      <c r="N8" s="11">
        <f t="shared" ref="N8:N13" si="1">(M8-L8)/L8</f>
        <v>0.37554067692108473</v>
      </c>
      <c r="P8" s="4" t="s">
        <v>623</v>
      </c>
      <c r="Q8" s="17">
        <v>70549817.939857528</v>
      </c>
      <c r="R8" s="17">
        <v>92624518.149017274</v>
      </c>
      <c r="S8" s="11">
        <f t="shared" ref="S8:S13" si="2">(R8-Q8)/Q8</f>
        <v>0.31289521155076599</v>
      </c>
    </row>
    <row r="9" spans="1:19" x14ac:dyDescent="0.25">
      <c r="B9" s="17"/>
      <c r="C9" s="17"/>
      <c r="F9" s="4" t="s">
        <v>616</v>
      </c>
      <c r="G9" s="17">
        <v>23145862.211925674</v>
      </c>
      <c r="H9" s="17">
        <v>22456307.760802973</v>
      </c>
      <c r="I9" s="11">
        <f t="shared" si="0"/>
        <v>-2.9791694291146999E-2</v>
      </c>
      <c r="K9" s="4" t="s">
        <v>615</v>
      </c>
      <c r="L9" s="17">
        <v>77295078.795692831</v>
      </c>
      <c r="M9" s="17">
        <v>92300928.093072832</v>
      </c>
      <c r="N9" s="11">
        <f t="shared" si="1"/>
        <v>0.19413718869533234</v>
      </c>
      <c r="P9" s="4" t="s">
        <v>620</v>
      </c>
      <c r="Q9" s="17">
        <v>79305347.480691701</v>
      </c>
      <c r="R9" s="17">
        <v>80155754.4424261</v>
      </c>
      <c r="S9" s="11">
        <f t="shared" si="2"/>
        <v>1.0723198229998877E-2</v>
      </c>
    </row>
    <row r="10" spans="1:19" x14ac:dyDescent="0.25">
      <c r="B10" s="17"/>
      <c r="C10" s="17"/>
      <c r="F10" s="4" t="s">
        <v>613</v>
      </c>
      <c r="G10" s="17">
        <v>17629090.22931755</v>
      </c>
      <c r="H10" s="17">
        <v>20944049.510428105</v>
      </c>
      <c r="I10" s="11">
        <f t="shared" si="0"/>
        <v>0.18803915789129649</v>
      </c>
      <c r="K10" s="4" t="s">
        <v>613</v>
      </c>
      <c r="L10" s="17">
        <v>58911719.973842345</v>
      </c>
      <c r="M10" s="17">
        <v>74536857.644452468</v>
      </c>
      <c r="N10" s="11">
        <f t="shared" si="1"/>
        <v>0.26522969754656472</v>
      </c>
      <c r="P10" s="4" t="s">
        <v>621</v>
      </c>
      <c r="Q10" s="17">
        <v>66529830.501810111</v>
      </c>
      <c r="R10" s="17">
        <v>63370689.197618499</v>
      </c>
      <c r="S10" s="11">
        <f t="shared" si="2"/>
        <v>-4.74845836876987E-2</v>
      </c>
    </row>
    <row r="11" spans="1:19" x14ac:dyDescent="0.25">
      <c r="A11" s="20" t="s">
        <v>656</v>
      </c>
      <c r="B11" s="17"/>
      <c r="C11" s="17"/>
      <c r="F11" s="4" t="s">
        <v>614</v>
      </c>
      <c r="G11" s="17">
        <v>19041290.789750386</v>
      </c>
      <c r="H11" s="17">
        <v>20111449.396280758</v>
      </c>
      <c r="I11" s="11">
        <f t="shared" si="0"/>
        <v>5.6201999031831436E-2</v>
      </c>
      <c r="K11" s="4" t="s">
        <v>616</v>
      </c>
      <c r="L11" s="17">
        <v>82022805.25349997</v>
      </c>
      <c r="M11" s="17">
        <v>72060102.915042773</v>
      </c>
      <c r="N11" s="11">
        <f t="shared" si="1"/>
        <v>-0.12146258967449887</v>
      </c>
      <c r="P11" s="4" t="s">
        <v>624</v>
      </c>
      <c r="Q11" s="17">
        <v>60265744.32571312</v>
      </c>
      <c r="R11" s="17">
        <v>83186687.04606387</v>
      </c>
      <c r="S11" s="11">
        <f t="shared" si="2"/>
        <v>0.38033119771112239</v>
      </c>
    </row>
    <row r="12" spans="1:19" x14ac:dyDescent="0.25">
      <c r="B12" s="28" t="s">
        <v>663</v>
      </c>
      <c r="C12" s="17"/>
      <c r="F12" s="4" t="s">
        <v>617</v>
      </c>
      <c r="G12" s="17">
        <v>19592464.972337294</v>
      </c>
      <c r="H12" s="17">
        <v>26816759.37865546</v>
      </c>
      <c r="I12" s="11">
        <f t="shared" si="0"/>
        <v>0.36872820324130656</v>
      </c>
      <c r="K12" s="4" t="s">
        <v>614</v>
      </c>
      <c r="L12" s="17">
        <v>68505986.194774345</v>
      </c>
      <c r="M12" s="17">
        <v>71916735.817499802</v>
      </c>
      <c r="N12" s="11">
        <f t="shared" si="1"/>
        <v>4.9787614370342861E-2</v>
      </c>
      <c r="P12" s="4" t="s">
        <v>622</v>
      </c>
      <c r="Q12" s="17">
        <v>77613113.332745224</v>
      </c>
      <c r="R12" s="17">
        <v>84364848.732599676</v>
      </c>
      <c r="S12" s="11">
        <f t="shared" si="2"/>
        <v>8.6992198997458234E-2</v>
      </c>
    </row>
    <row r="13" spans="1:19" x14ac:dyDescent="0.25">
      <c r="B13" s="17" t="s">
        <v>654</v>
      </c>
      <c r="C13" s="17" t="s">
        <v>655</v>
      </c>
      <c r="D13" s="23" t="s">
        <v>669</v>
      </c>
      <c r="F13" s="4" t="s">
        <v>635</v>
      </c>
      <c r="G13" s="17">
        <v>100090676.96203932</v>
      </c>
      <c r="H13" s="17">
        <v>114724939.32097203</v>
      </c>
      <c r="I13" s="12">
        <f t="shared" si="0"/>
        <v>0.14621004476254004</v>
      </c>
      <c r="K13" s="4" t="s">
        <v>635</v>
      </c>
      <c r="L13" s="17">
        <v>354263853.5808177</v>
      </c>
      <c r="M13" s="17">
        <v>403702497.56772542</v>
      </c>
      <c r="N13" s="12">
        <f t="shared" si="1"/>
        <v>0.13955317057383432</v>
      </c>
      <c r="P13" s="4" t="s">
        <v>635</v>
      </c>
      <c r="Q13" s="17">
        <v>354263853.5808177</v>
      </c>
      <c r="R13" s="17">
        <v>403702497.56772536</v>
      </c>
      <c r="S13" s="12">
        <f t="shared" si="2"/>
        <v>0.13955317057383415</v>
      </c>
    </row>
    <row r="14" spans="1:19" x14ac:dyDescent="0.25">
      <c r="A14" t="s">
        <v>682</v>
      </c>
      <c r="B14" s="17">
        <v>354263853.5808177</v>
      </c>
      <c r="C14" s="17">
        <v>403702497.5677253</v>
      </c>
      <c r="D14" s="12">
        <f>(C14-B14)/B14</f>
        <v>0.13955317057383398</v>
      </c>
    </row>
    <row r="15" spans="1:19" x14ac:dyDescent="0.25">
      <c r="B15" s="17"/>
      <c r="C15" s="17"/>
    </row>
    <row r="16" spans="1:19" x14ac:dyDescent="0.25">
      <c r="B16" s="17"/>
      <c r="C16" s="17"/>
    </row>
    <row r="17" spans="1:19" x14ac:dyDescent="0.25">
      <c r="A17" s="20" t="s">
        <v>689</v>
      </c>
      <c r="B17" s="17"/>
      <c r="C17" s="17"/>
      <c r="F17" s="20" t="s">
        <v>694</v>
      </c>
      <c r="K17" s="20" t="s">
        <v>693</v>
      </c>
    </row>
    <row r="18" spans="1:19" x14ac:dyDescent="0.25">
      <c r="B18" s="28" t="s">
        <v>663</v>
      </c>
      <c r="C18" s="17"/>
      <c r="F18" s="3" t="s">
        <v>674</v>
      </c>
      <c r="G18" s="3" t="s">
        <v>639</v>
      </c>
      <c r="K18" s="3" t="s">
        <v>637</v>
      </c>
      <c r="L18" s="3" t="s">
        <v>663</v>
      </c>
    </row>
    <row r="19" spans="1:19" x14ac:dyDescent="0.25">
      <c r="B19" s="29" t="s">
        <v>654</v>
      </c>
      <c r="C19" s="29" t="s">
        <v>655</v>
      </c>
      <c r="D19" s="23" t="s">
        <v>669</v>
      </c>
      <c r="F19" s="3" t="s">
        <v>634</v>
      </c>
      <c r="G19" t="s">
        <v>654</v>
      </c>
      <c r="H19" t="s">
        <v>655</v>
      </c>
      <c r="K19" s="3" t="s">
        <v>657</v>
      </c>
      <c r="L19" t="s">
        <v>654</v>
      </c>
      <c r="M19" t="s">
        <v>655</v>
      </c>
      <c r="N19" s="22" t="s">
        <v>669</v>
      </c>
    </row>
    <row r="20" spans="1:19" x14ac:dyDescent="0.25">
      <c r="A20" t="s">
        <v>638</v>
      </c>
      <c r="B20" s="17">
        <v>100090676.96203929</v>
      </c>
      <c r="C20" s="17">
        <v>114724939.32097203</v>
      </c>
      <c r="D20" s="12">
        <f>(C20-B20)/B20</f>
        <v>0.14621004476254038</v>
      </c>
      <c r="F20" s="4" t="s">
        <v>615</v>
      </c>
      <c r="G20" s="36">
        <v>299</v>
      </c>
      <c r="H20" s="36">
        <v>366</v>
      </c>
      <c r="K20" s="4" t="s">
        <v>615</v>
      </c>
      <c r="L20" s="17">
        <v>56613110.036984429</v>
      </c>
      <c r="M20" s="17">
        <v>67904554.818268105</v>
      </c>
      <c r="N20" s="11">
        <f t="shared" ref="N20:N25" si="3">(M20-L20)/L20</f>
        <v>0.19944929317444596</v>
      </c>
    </row>
    <row r="21" spans="1:19" x14ac:dyDescent="0.25">
      <c r="B21" s="17"/>
      <c r="C21" s="17"/>
      <c r="F21" s="4" t="s">
        <v>616</v>
      </c>
      <c r="G21" s="36">
        <v>328</v>
      </c>
      <c r="H21" s="36">
        <v>280</v>
      </c>
      <c r="K21" s="4" t="s">
        <v>617</v>
      </c>
      <c r="L21" s="17">
        <v>47935798.390670888</v>
      </c>
      <c r="M21" s="17">
        <v>66071113.719002068</v>
      </c>
      <c r="N21" s="11">
        <f t="shared" si="3"/>
        <v>0.37832509183492846</v>
      </c>
    </row>
    <row r="22" spans="1:19" x14ac:dyDescent="0.25">
      <c r="B22" s="17"/>
      <c r="C22" s="17"/>
      <c r="F22" s="4" t="s">
        <v>613</v>
      </c>
      <c r="G22" s="36">
        <v>256</v>
      </c>
      <c r="H22" s="36">
        <v>284</v>
      </c>
      <c r="K22" s="4" t="s">
        <v>613</v>
      </c>
      <c r="L22" s="17">
        <v>41282629.744524837</v>
      </c>
      <c r="M22" s="17">
        <v>53592808.134024367</v>
      </c>
      <c r="N22" s="11">
        <f t="shared" si="3"/>
        <v>0.29819268941151172</v>
      </c>
    </row>
    <row r="23" spans="1:19" x14ac:dyDescent="0.25">
      <c r="A23" s="20" t="s">
        <v>688</v>
      </c>
      <c r="B23" s="17"/>
      <c r="C23" s="17"/>
      <c r="F23" s="4" t="s">
        <v>614</v>
      </c>
      <c r="G23" s="36">
        <v>275</v>
      </c>
      <c r="H23" s="36">
        <v>265</v>
      </c>
      <c r="K23" s="4" t="s">
        <v>614</v>
      </c>
      <c r="L23" s="17">
        <v>49464695.40502391</v>
      </c>
      <c r="M23" s="17">
        <v>51805286.421219029</v>
      </c>
      <c r="N23" s="11">
        <f t="shared" si="3"/>
        <v>4.7318415630178828E-2</v>
      </c>
    </row>
    <row r="24" spans="1:19" x14ac:dyDescent="0.25">
      <c r="B24" s="28" t="s">
        <v>663</v>
      </c>
      <c r="C24" s="17"/>
      <c r="F24" s="4" t="s">
        <v>617</v>
      </c>
      <c r="G24" s="36">
        <v>256</v>
      </c>
      <c r="H24" s="36">
        <v>355</v>
      </c>
      <c r="K24" s="4" t="s">
        <v>616</v>
      </c>
      <c r="L24" s="17">
        <v>58876943.041574255</v>
      </c>
      <c r="M24" s="17">
        <v>49603795.154239796</v>
      </c>
      <c r="N24" s="11">
        <f t="shared" si="3"/>
        <v>-0.15750049863809154</v>
      </c>
    </row>
    <row r="25" spans="1:19" x14ac:dyDescent="0.25">
      <c r="B25" s="17" t="s">
        <v>654</v>
      </c>
      <c r="C25" s="17" t="s">
        <v>655</v>
      </c>
      <c r="D25" s="23" t="s">
        <v>669</v>
      </c>
      <c r="F25" s="4" t="s">
        <v>635</v>
      </c>
      <c r="G25" s="36">
        <v>1414</v>
      </c>
      <c r="H25" s="36">
        <v>1550</v>
      </c>
      <c r="K25" s="4" t="s">
        <v>635</v>
      </c>
      <c r="L25" s="17">
        <v>254173176.61877832</v>
      </c>
      <c r="M25" s="17">
        <v>288977558.24675333</v>
      </c>
      <c r="N25" s="12">
        <f t="shared" si="3"/>
        <v>0.13693176475571367</v>
      </c>
    </row>
    <row r="26" spans="1:19" x14ac:dyDescent="0.25">
      <c r="A26" t="s">
        <v>11</v>
      </c>
      <c r="B26" s="17">
        <v>37307786.419182375</v>
      </c>
      <c r="C26" s="17">
        <v>46326907.43227458</v>
      </c>
      <c r="D26" s="12">
        <f>(C26-B26)/B26</f>
        <v>0.24174902557217612</v>
      </c>
    </row>
    <row r="27" spans="1:19" x14ac:dyDescent="0.25">
      <c r="B27" s="17"/>
      <c r="C27" s="17"/>
    </row>
    <row r="28" spans="1:19" x14ac:dyDescent="0.25">
      <c r="P28" s="20" t="s">
        <v>714</v>
      </c>
    </row>
    <row r="29" spans="1:19" x14ac:dyDescent="0.25">
      <c r="A29" s="20" t="s">
        <v>687</v>
      </c>
      <c r="P29" s="3" t="s">
        <v>713</v>
      </c>
      <c r="Q29" s="3" t="s">
        <v>663</v>
      </c>
    </row>
    <row r="30" spans="1:19" x14ac:dyDescent="0.25">
      <c r="B30" s="3" t="s">
        <v>663</v>
      </c>
      <c r="P30" s="3" t="s">
        <v>712</v>
      </c>
      <c r="Q30" t="s">
        <v>654</v>
      </c>
      <c r="R30" t="s">
        <v>655</v>
      </c>
      <c r="S30" s="22" t="s">
        <v>669</v>
      </c>
    </row>
    <row r="31" spans="1:19" x14ac:dyDescent="0.25">
      <c r="B31" t="s">
        <v>654</v>
      </c>
      <c r="C31" t="s">
        <v>655</v>
      </c>
      <c r="D31" s="23" t="s">
        <v>669</v>
      </c>
      <c r="F31" s="21" t="s">
        <v>691</v>
      </c>
      <c r="P31" s="4" t="s">
        <v>633</v>
      </c>
      <c r="Q31" s="36">
        <v>100</v>
      </c>
      <c r="R31" s="36">
        <v>109</v>
      </c>
      <c r="S31" s="11">
        <f>(R31-Q31)/Q31</f>
        <v>0.09</v>
      </c>
    </row>
    <row r="32" spans="1:19" x14ac:dyDescent="0.25">
      <c r="A32" t="s">
        <v>7</v>
      </c>
      <c r="B32" s="36">
        <v>1414</v>
      </c>
      <c r="C32" s="36">
        <v>1550</v>
      </c>
      <c r="D32" s="12">
        <f>(C32-B32)/B32</f>
        <v>9.6181046676096185E-2</v>
      </c>
      <c r="F32" s="24"/>
      <c r="G32" s="25" t="s">
        <v>663</v>
      </c>
      <c r="H32" s="24"/>
      <c r="I32" s="24"/>
      <c r="J32" s="24"/>
      <c r="K32" s="24"/>
      <c r="L32" s="24"/>
      <c r="P32" s="4" t="s">
        <v>631</v>
      </c>
      <c r="Q32" s="36">
        <v>88</v>
      </c>
      <c r="R32" s="36">
        <v>106</v>
      </c>
      <c r="S32" s="11">
        <f>(R32-Q32)/Q32</f>
        <v>0.20454545454545456</v>
      </c>
    </row>
    <row r="33" spans="1:19" x14ac:dyDescent="0.25">
      <c r="F33" s="24"/>
      <c r="G33" s="24" t="s">
        <v>10</v>
      </c>
      <c r="H33" s="24"/>
      <c r="I33" s="24" t="s">
        <v>682</v>
      </c>
      <c r="J33" s="24"/>
      <c r="K33" s="24" t="s">
        <v>658</v>
      </c>
      <c r="L33" s="24"/>
      <c r="P33" s="4" t="s">
        <v>632</v>
      </c>
      <c r="Q33" s="36">
        <v>101</v>
      </c>
      <c r="R33" s="36">
        <v>96</v>
      </c>
      <c r="S33" s="11">
        <f>(R33-Q33)/Q33</f>
        <v>-4.9504950495049507E-2</v>
      </c>
    </row>
    <row r="34" spans="1:19" x14ac:dyDescent="0.25">
      <c r="F34" s="25" t="s">
        <v>657</v>
      </c>
      <c r="G34" s="13" t="s">
        <v>654</v>
      </c>
      <c r="H34" s="13" t="s">
        <v>655</v>
      </c>
      <c r="I34" s="13" t="s">
        <v>654</v>
      </c>
      <c r="J34" s="13" t="s">
        <v>655</v>
      </c>
      <c r="K34" s="13" t="s">
        <v>654</v>
      </c>
      <c r="L34" s="13" t="s">
        <v>655</v>
      </c>
      <c r="P34" s="4" t="s">
        <v>635</v>
      </c>
      <c r="Q34" s="36">
        <v>289</v>
      </c>
      <c r="R34" s="36">
        <v>311</v>
      </c>
      <c r="S34" s="12">
        <f>(R34-Q34)/Q34</f>
        <v>7.6124567474048443E-2</v>
      </c>
    </row>
    <row r="35" spans="1:19" x14ac:dyDescent="0.25">
      <c r="F35" s="24" t="s">
        <v>615</v>
      </c>
      <c r="G35" s="27">
        <v>56613110.036984429</v>
      </c>
      <c r="H35" s="27">
        <v>67904554.818268105</v>
      </c>
      <c r="I35" s="27">
        <v>77295078.795692831</v>
      </c>
      <c r="J35" s="27">
        <v>92300928.093072832</v>
      </c>
      <c r="K35" s="27">
        <v>20681968.758708429</v>
      </c>
      <c r="L35" s="27">
        <v>24396373.274804726</v>
      </c>
      <c r="S35" s="11"/>
    </row>
    <row r="36" spans="1:19" x14ac:dyDescent="0.25">
      <c r="A36" s="21" t="s">
        <v>695</v>
      </c>
      <c r="F36" s="24" t="s">
        <v>616</v>
      </c>
      <c r="G36" s="27">
        <v>58876943.041574255</v>
      </c>
      <c r="H36" s="27">
        <v>49603795.154239796</v>
      </c>
      <c r="I36" s="27">
        <v>82022805.25349997</v>
      </c>
      <c r="J36" s="27">
        <v>72060102.915042773</v>
      </c>
      <c r="K36" s="27">
        <v>23145862.211925674</v>
      </c>
      <c r="L36" s="27">
        <v>22456307.760802973</v>
      </c>
    </row>
    <row r="37" spans="1:19" x14ac:dyDescent="0.25">
      <c r="A37" s="3" t="s">
        <v>700</v>
      </c>
      <c r="B37" s="3" t="s">
        <v>663</v>
      </c>
      <c r="F37" s="24" t="s">
        <v>613</v>
      </c>
      <c r="G37" s="27">
        <v>41282629.744524837</v>
      </c>
      <c r="H37" s="27">
        <v>53592808.134024367</v>
      </c>
      <c r="I37" s="27">
        <v>58911719.973842345</v>
      </c>
      <c r="J37" s="27">
        <v>74536857.644452468</v>
      </c>
      <c r="K37" s="27">
        <v>17629090.22931755</v>
      </c>
      <c r="L37" s="27">
        <v>20944049.510428105</v>
      </c>
    </row>
    <row r="38" spans="1:19" x14ac:dyDescent="0.25">
      <c r="A38" s="3" t="s">
        <v>657</v>
      </c>
      <c r="B38" t="s">
        <v>654</v>
      </c>
      <c r="C38" t="s">
        <v>655</v>
      </c>
      <c r="F38" s="24" t="s">
        <v>614</v>
      </c>
      <c r="G38" s="27">
        <v>49464695.40502391</v>
      </c>
      <c r="H38" s="27">
        <v>51805286.421219029</v>
      </c>
      <c r="I38" s="27">
        <v>68505986.194774345</v>
      </c>
      <c r="J38" s="27">
        <v>71916735.817499802</v>
      </c>
      <c r="K38" s="27">
        <v>19041290.789750386</v>
      </c>
      <c r="L38" s="27">
        <v>20111449.396280758</v>
      </c>
      <c r="P38" s="21" t="s">
        <v>691</v>
      </c>
    </row>
    <row r="39" spans="1:19" x14ac:dyDescent="0.25">
      <c r="A39" s="4" t="s">
        <v>615</v>
      </c>
      <c r="B39" s="17">
        <v>8810002.2043071557</v>
      </c>
      <c r="C39" s="17">
        <v>10513441.906927172</v>
      </c>
      <c r="F39" s="24" t="s">
        <v>617</v>
      </c>
      <c r="G39" s="27">
        <v>47935798.390670888</v>
      </c>
      <c r="H39" s="27">
        <v>66071113.719002068</v>
      </c>
      <c r="I39" s="27">
        <v>67528263.363008171</v>
      </c>
      <c r="J39" s="27">
        <v>92887873.097657546</v>
      </c>
      <c r="K39" s="27">
        <v>19592464.972337294</v>
      </c>
      <c r="L39" s="27">
        <v>26816759.37865546</v>
      </c>
      <c r="P39" s="25" t="s">
        <v>657</v>
      </c>
      <c r="Q39" s="24" t="s">
        <v>10</v>
      </c>
      <c r="R39" s="24" t="s">
        <v>682</v>
      </c>
      <c r="S39" s="24" t="s">
        <v>658</v>
      </c>
    </row>
    <row r="40" spans="1:19" x14ac:dyDescent="0.25">
      <c r="A40" s="4" t="s">
        <v>616</v>
      </c>
      <c r="B40" s="17">
        <v>8388498.7465000497</v>
      </c>
      <c r="C40" s="17">
        <v>8749445.0849572178</v>
      </c>
      <c r="F40" s="24" t="s">
        <v>635</v>
      </c>
      <c r="G40" s="27">
        <v>254173176.61877832</v>
      </c>
      <c r="H40" s="27">
        <v>288977558.24675333</v>
      </c>
      <c r="I40" s="27">
        <v>354263853.5808177</v>
      </c>
      <c r="J40" s="27">
        <v>403702497.56772542</v>
      </c>
      <c r="K40" s="27">
        <v>100090676.96203932</v>
      </c>
      <c r="L40" s="27">
        <v>114724939.32097203</v>
      </c>
      <c r="P40" s="13" t="s">
        <v>654</v>
      </c>
      <c r="Q40" s="27">
        <v>254173176.61877832</v>
      </c>
      <c r="R40" s="27">
        <v>354263853.5808177</v>
      </c>
      <c r="S40" s="27">
        <v>100090676.96203929</v>
      </c>
    </row>
    <row r="41" spans="1:19" x14ac:dyDescent="0.25">
      <c r="A41" s="4" t="s">
        <v>613</v>
      </c>
      <c r="B41" s="17">
        <v>5017522.0261576334</v>
      </c>
      <c r="C41" s="17">
        <v>8718785.3555475157</v>
      </c>
      <c r="P41" s="13" t="s">
        <v>655</v>
      </c>
      <c r="Q41" s="27">
        <v>288977558.24675322</v>
      </c>
      <c r="R41" s="27">
        <v>403702497.5677253</v>
      </c>
      <c r="S41" s="27">
        <v>114724939.32097203</v>
      </c>
    </row>
    <row r="42" spans="1:19" x14ac:dyDescent="0.25">
      <c r="A42" s="4" t="s">
        <v>614</v>
      </c>
      <c r="B42" s="17">
        <v>7917744.8052256862</v>
      </c>
      <c r="C42" s="17">
        <v>7371708.1825002031</v>
      </c>
      <c r="P42" s="24" t="s">
        <v>635</v>
      </c>
      <c r="Q42" s="27">
        <v>543150734.86553156</v>
      </c>
      <c r="R42" s="27">
        <v>757966351.148543</v>
      </c>
      <c r="S42" s="27">
        <v>214815616.28301132</v>
      </c>
    </row>
    <row r="43" spans="1:19" x14ac:dyDescent="0.25">
      <c r="A43" s="4" t="s">
        <v>617</v>
      </c>
      <c r="B43" s="17">
        <v>7174018.6369918166</v>
      </c>
      <c r="C43" s="17">
        <v>10973526.902342465</v>
      </c>
    </row>
    <row r="44" spans="1:19" x14ac:dyDescent="0.25">
      <c r="A44" s="4" t="s">
        <v>635</v>
      </c>
      <c r="B44" s="17">
        <v>37307786.419182338</v>
      </c>
      <c r="C44" s="17">
        <v>46326907.43227458</v>
      </c>
    </row>
    <row r="46" spans="1:19" x14ac:dyDescent="0.25">
      <c r="D46" s="11"/>
    </row>
    <row r="47" spans="1:19" x14ac:dyDescent="0.25">
      <c r="D47" s="11"/>
    </row>
    <row r="48" spans="1:19" x14ac:dyDescent="0.25">
      <c r="D48" s="11"/>
    </row>
    <row r="49" spans="4:4" x14ac:dyDescent="0.25">
      <c r="D49" s="11"/>
    </row>
    <row r="50" spans="4:4" x14ac:dyDescent="0.25">
      <c r="D50" s="11"/>
    </row>
    <row r="51" spans="4:4" x14ac:dyDescent="0.25">
      <c r="D51" s="11"/>
    </row>
    <row r="65" spans="4:10" x14ac:dyDescent="0.25">
      <c r="J65" s="11"/>
    </row>
    <row r="66" spans="4:10" x14ac:dyDescent="0.25">
      <c r="J66" s="11"/>
    </row>
    <row r="67" spans="4:10" x14ac:dyDescent="0.25">
      <c r="J67" s="11"/>
    </row>
    <row r="68" spans="4:10" x14ac:dyDescent="0.25">
      <c r="J68" s="11"/>
    </row>
    <row r="69" spans="4:10" x14ac:dyDescent="0.25">
      <c r="J69" s="11"/>
    </row>
    <row r="70" spans="4:10" x14ac:dyDescent="0.25">
      <c r="D70" s="11"/>
      <c r="J70" s="11"/>
    </row>
    <row r="71" spans="4:10" x14ac:dyDescent="0.25">
      <c r="D71" s="11"/>
      <c r="J71" s="11"/>
    </row>
    <row r="72" spans="4:10" x14ac:dyDescent="0.25">
      <c r="D72" s="11"/>
      <c r="J72" s="11"/>
    </row>
    <row r="73" spans="4:10" x14ac:dyDescent="0.25">
      <c r="D73" s="11"/>
      <c r="J73" s="11"/>
    </row>
    <row r="74" spans="4:10" x14ac:dyDescent="0.25">
      <c r="D74" s="11"/>
      <c r="J74" s="11"/>
    </row>
    <row r="75" spans="4:10" x14ac:dyDescent="0.25">
      <c r="D75" s="11"/>
      <c r="J75" s="11"/>
    </row>
    <row r="76" spans="4:10" x14ac:dyDescent="0.25">
      <c r="D76" s="11"/>
      <c r="J76" s="11"/>
    </row>
    <row r="77" spans="4:10" x14ac:dyDescent="0.25">
      <c r="D77" s="11"/>
      <c r="J77" s="11"/>
    </row>
    <row r="78" spans="4:10" x14ac:dyDescent="0.25">
      <c r="D78" s="11"/>
      <c r="J78" s="11"/>
    </row>
    <row r="79" spans="4:10" x14ac:dyDescent="0.25">
      <c r="D79" s="11"/>
      <c r="J79" s="11"/>
    </row>
    <row r="80" spans="4:10" x14ac:dyDescent="0.25">
      <c r="J80" s="11"/>
    </row>
    <row r="81" spans="4:10" x14ac:dyDescent="0.25">
      <c r="J81" s="11"/>
    </row>
    <row r="82" spans="4:10" x14ac:dyDescent="0.25">
      <c r="J82" s="11"/>
    </row>
    <row r="83" spans="4:10" x14ac:dyDescent="0.25">
      <c r="J83" s="11"/>
    </row>
    <row r="84" spans="4:10" x14ac:dyDescent="0.25">
      <c r="J84" s="11"/>
    </row>
    <row r="85" spans="4:10" x14ac:dyDescent="0.25">
      <c r="J85" s="11"/>
    </row>
    <row r="86" spans="4:10" x14ac:dyDescent="0.25">
      <c r="J86" s="11"/>
    </row>
    <row r="87" spans="4:10" x14ac:dyDescent="0.25">
      <c r="J87" s="11"/>
    </row>
    <row r="88" spans="4:10" x14ac:dyDescent="0.25">
      <c r="J88" s="11"/>
    </row>
    <row r="89" spans="4:10" x14ac:dyDescent="0.25">
      <c r="J89" s="11"/>
    </row>
    <row r="90" spans="4:10" x14ac:dyDescent="0.25">
      <c r="J90" s="11"/>
    </row>
    <row r="91" spans="4:10" x14ac:dyDescent="0.25">
      <c r="J91" s="11"/>
    </row>
    <row r="92" spans="4:10" x14ac:dyDescent="0.25">
      <c r="D92" s="11"/>
      <c r="J92" s="11"/>
    </row>
    <row r="93" spans="4:10" x14ac:dyDescent="0.25">
      <c r="D93" s="11"/>
      <c r="J93" s="11"/>
    </row>
    <row r="94" spans="4:10" x14ac:dyDescent="0.25">
      <c r="D94" s="11"/>
      <c r="J94" s="11"/>
    </row>
    <row r="95" spans="4:10" x14ac:dyDescent="0.25">
      <c r="D95" s="11"/>
      <c r="J95" s="11"/>
    </row>
    <row r="96" spans="4:10" x14ac:dyDescent="0.25">
      <c r="D96" s="11"/>
      <c r="J96" s="11"/>
    </row>
    <row r="97" spans="4:10" x14ac:dyDescent="0.25">
      <c r="D97" s="11"/>
      <c r="J97" s="11"/>
    </row>
    <row r="98" spans="4:10" x14ac:dyDescent="0.25">
      <c r="J98" s="11"/>
    </row>
    <row r="99" spans="4:10" x14ac:dyDescent="0.25">
      <c r="J99" s="11"/>
    </row>
    <row r="100" spans="4:10" x14ac:dyDescent="0.25">
      <c r="J100" s="11"/>
    </row>
    <row r="101" spans="4:10" x14ac:dyDescent="0.25">
      <c r="J101" s="11"/>
    </row>
    <row r="102" spans="4:10" x14ac:dyDescent="0.25">
      <c r="J102" s="11"/>
    </row>
    <row r="103" spans="4:10" x14ac:dyDescent="0.25">
      <c r="J103" s="11"/>
    </row>
    <row r="104" spans="4:10" x14ac:dyDescent="0.25">
      <c r="J104" s="11"/>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1818A-E058-4FAD-AB19-8845FD557DEA}">
  <sheetPr>
    <tabColor theme="1" tint="0.14999847407452621"/>
  </sheetPr>
  <dimension ref="A4:P53"/>
  <sheetViews>
    <sheetView showGridLines="0" tabSelected="1" workbookViewId="0">
      <selection activeCell="I20" sqref="I20"/>
    </sheetView>
  </sheetViews>
  <sheetFormatPr defaultRowHeight="15" x14ac:dyDescent="0.25"/>
  <cols>
    <col min="1" max="1" width="17.28515625" bestFit="1" customWidth="1"/>
    <col min="2" max="3" width="5" bestFit="1" customWidth="1"/>
    <col min="9" max="9" width="16.28515625" bestFit="1" customWidth="1"/>
    <col min="10" max="11" width="5" bestFit="1" customWidth="1"/>
    <col min="15" max="15" width="16.28515625" bestFit="1" customWidth="1"/>
    <col min="16" max="16" width="5" bestFit="1" customWidth="1"/>
    <col min="17" max="17" width="11.28515625" bestFit="1" customWidth="1"/>
  </cols>
  <sheetData>
    <row r="4" spans="1:16" x14ac:dyDescent="0.25">
      <c r="A4" s="20" t="s">
        <v>714</v>
      </c>
      <c r="I4" s="20" t="s">
        <v>715</v>
      </c>
    </row>
    <row r="5" spans="1:16" x14ac:dyDescent="0.25">
      <c r="A5" s="3" t="s">
        <v>713</v>
      </c>
      <c r="B5" s="3" t="s">
        <v>663</v>
      </c>
      <c r="I5" s="3" t="s">
        <v>713</v>
      </c>
      <c r="J5" s="3" t="s">
        <v>663</v>
      </c>
      <c r="O5" s="20" t="s">
        <v>714</v>
      </c>
    </row>
    <row r="6" spans="1:16" x14ac:dyDescent="0.25">
      <c r="A6" s="3" t="s">
        <v>712</v>
      </c>
      <c r="B6" t="s">
        <v>654</v>
      </c>
      <c r="C6" t="s">
        <v>655</v>
      </c>
      <c r="D6" s="22" t="s">
        <v>669</v>
      </c>
      <c r="I6" s="3" t="s">
        <v>4</v>
      </c>
      <c r="J6" t="s">
        <v>654</v>
      </c>
      <c r="K6" t="s">
        <v>655</v>
      </c>
      <c r="L6" s="22" t="s">
        <v>669</v>
      </c>
      <c r="O6" s="3" t="s">
        <v>713</v>
      </c>
      <c r="P6" s="3" t="s">
        <v>663</v>
      </c>
    </row>
    <row r="7" spans="1:16" x14ac:dyDescent="0.25">
      <c r="A7" s="4" t="s">
        <v>633</v>
      </c>
      <c r="B7" s="36">
        <v>100</v>
      </c>
      <c r="C7" s="36">
        <v>109</v>
      </c>
      <c r="D7" s="11">
        <f>(C7-B7)/B7</f>
        <v>0.09</v>
      </c>
      <c r="I7" s="4" t="s">
        <v>615</v>
      </c>
      <c r="J7" s="36">
        <v>58</v>
      </c>
      <c r="K7" s="36">
        <v>68</v>
      </c>
      <c r="L7" s="11">
        <f t="shared" ref="L7:L12" si="0">(K7-J7)/J7</f>
        <v>0.17241379310344829</v>
      </c>
      <c r="O7" s="3" t="s">
        <v>712</v>
      </c>
      <c r="P7" s="24" t="s">
        <v>655</v>
      </c>
    </row>
    <row r="8" spans="1:16" x14ac:dyDescent="0.25">
      <c r="A8" s="4" t="s">
        <v>631</v>
      </c>
      <c r="B8" s="36">
        <v>88</v>
      </c>
      <c r="C8" s="36">
        <v>106</v>
      </c>
      <c r="D8" s="11">
        <f>(C8-B8)/B8</f>
        <v>0.20454545454545456</v>
      </c>
      <c r="I8" s="4" t="s">
        <v>616</v>
      </c>
      <c r="J8" s="36">
        <v>65</v>
      </c>
      <c r="K8" s="36">
        <v>64</v>
      </c>
      <c r="L8" s="11">
        <f t="shared" si="0"/>
        <v>-1.5384615384615385E-2</v>
      </c>
      <c r="O8" s="4" t="s">
        <v>633</v>
      </c>
      <c r="P8" s="36">
        <v>109</v>
      </c>
    </row>
    <row r="9" spans="1:16" x14ac:dyDescent="0.25">
      <c r="A9" s="4" t="s">
        <v>632</v>
      </c>
      <c r="B9" s="36">
        <v>101</v>
      </c>
      <c r="C9" s="36">
        <v>96</v>
      </c>
      <c r="D9" s="11">
        <f>(C9-B9)/B9</f>
        <v>-4.9504950495049507E-2</v>
      </c>
      <c r="I9" s="4" t="s">
        <v>613</v>
      </c>
      <c r="J9" s="36">
        <v>54</v>
      </c>
      <c r="K9" s="36">
        <v>61</v>
      </c>
      <c r="L9" s="11">
        <f t="shared" si="0"/>
        <v>0.12962962962962962</v>
      </c>
      <c r="O9" s="4" t="s">
        <v>631</v>
      </c>
      <c r="P9" s="36">
        <v>106</v>
      </c>
    </row>
    <row r="10" spans="1:16" x14ac:dyDescent="0.25">
      <c r="A10" s="4" t="s">
        <v>635</v>
      </c>
      <c r="B10" s="36">
        <v>289</v>
      </c>
      <c r="C10" s="36">
        <v>311</v>
      </c>
      <c r="D10" s="12">
        <f>(C10-B10)/B10</f>
        <v>7.6124567474048443E-2</v>
      </c>
      <c r="I10" s="4" t="s">
        <v>614</v>
      </c>
      <c r="J10" s="36">
        <v>60</v>
      </c>
      <c r="K10" s="36">
        <v>50</v>
      </c>
      <c r="L10" s="11">
        <f t="shared" si="0"/>
        <v>-0.16666666666666666</v>
      </c>
      <c r="O10" s="4" t="s">
        <v>632</v>
      </c>
      <c r="P10" s="36">
        <v>96</v>
      </c>
    </row>
    <row r="11" spans="1:16" x14ac:dyDescent="0.25">
      <c r="I11" s="4" t="s">
        <v>617</v>
      </c>
      <c r="J11" s="36">
        <v>52</v>
      </c>
      <c r="K11" s="36">
        <v>68</v>
      </c>
      <c r="L11" s="11">
        <f t="shared" si="0"/>
        <v>0.30769230769230771</v>
      </c>
      <c r="O11" s="4" t="s">
        <v>635</v>
      </c>
      <c r="P11" s="36">
        <v>311</v>
      </c>
    </row>
    <row r="12" spans="1:16" x14ac:dyDescent="0.25">
      <c r="I12" s="4" t="s">
        <v>635</v>
      </c>
      <c r="J12" s="36">
        <v>289</v>
      </c>
      <c r="K12" s="36">
        <v>311</v>
      </c>
      <c r="L12" s="12">
        <f t="shared" si="0"/>
        <v>7.6124567474048443E-2</v>
      </c>
    </row>
    <row r="14" spans="1:16" x14ac:dyDescent="0.25">
      <c r="A14" s="20" t="s">
        <v>715</v>
      </c>
    </row>
    <row r="15" spans="1:16" x14ac:dyDescent="0.25">
      <c r="A15" s="3" t="s">
        <v>713</v>
      </c>
      <c r="B15" s="3" t="s">
        <v>663</v>
      </c>
    </row>
    <row r="16" spans="1:16" x14ac:dyDescent="0.25">
      <c r="A16" s="3" t="s">
        <v>4</v>
      </c>
      <c r="B16" t="s">
        <v>654</v>
      </c>
      <c r="C16" t="s">
        <v>655</v>
      </c>
      <c r="D16" s="22" t="s">
        <v>669</v>
      </c>
      <c r="I16" s="20" t="s">
        <v>714</v>
      </c>
    </row>
    <row r="17" spans="1:12" x14ac:dyDescent="0.25">
      <c r="A17" s="4" t="s">
        <v>623</v>
      </c>
      <c r="B17" s="36">
        <v>58</v>
      </c>
      <c r="C17" s="36">
        <v>71</v>
      </c>
      <c r="D17" s="11">
        <f t="shared" ref="D17:D22" si="1">(C17-B17)/B17</f>
        <v>0.22413793103448276</v>
      </c>
      <c r="I17" s="3" t="s">
        <v>713</v>
      </c>
      <c r="J17" s="3" t="s">
        <v>663</v>
      </c>
    </row>
    <row r="18" spans="1:12" x14ac:dyDescent="0.25">
      <c r="A18" s="4" t="s">
        <v>620</v>
      </c>
      <c r="B18" s="36">
        <v>60</v>
      </c>
      <c r="C18" s="36">
        <v>57</v>
      </c>
      <c r="D18" s="11">
        <f t="shared" si="1"/>
        <v>-0.05</v>
      </c>
      <c r="I18" s="3" t="s">
        <v>712</v>
      </c>
      <c r="J18" t="s">
        <v>654</v>
      </c>
      <c r="K18" t="s">
        <v>655</v>
      </c>
      <c r="L18" s="22" t="s">
        <v>669</v>
      </c>
    </row>
    <row r="19" spans="1:12" x14ac:dyDescent="0.25">
      <c r="A19" s="4" t="s">
        <v>621</v>
      </c>
      <c r="B19" s="36">
        <v>51</v>
      </c>
      <c r="C19" s="36">
        <v>50</v>
      </c>
      <c r="D19" s="11">
        <f t="shared" si="1"/>
        <v>-1.9607843137254902E-2</v>
      </c>
      <c r="I19" s="4" t="s">
        <v>633</v>
      </c>
      <c r="J19" s="36">
        <v>100</v>
      </c>
      <c r="K19" s="36">
        <v>109</v>
      </c>
      <c r="L19" s="11">
        <f>(K19-J19)/J19</f>
        <v>0.09</v>
      </c>
    </row>
    <row r="20" spans="1:12" x14ac:dyDescent="0.25">
      <c r="A20" s="4" t="s">
        <v>624</v>
      </c>
      <c r="B20" s="36">
        <v>55</v>
      </c>
      <c r="C20" s="36">
        <v>65</v>
      </c>
      <c r="D20" s="11">
        <f t="shared" si="1"/>
        <v>0.18181818181818182</v>
      </c>
      <c r="I20" s="4" t="s">
        <v>631</v>
      </c>
      <c r="J20" s="36">
        <v>88</v>
      </c>
      <c r="K20" s="36">
        <v>106</v>
      </c>
      <c r="L20" s="11">
        <f>(K20-J20)/J20</f>
        <v>0.20454545454545456</v>
      </c>
    </row>
    <row r="21" spans="1:12" x14ac:dyDescent="0.25">
      <c r="A21" s="4" t="s">
        <v>622</v>
      </c>
      <c r="B21" s="36">
        <v>65</v>
      </c>
      <c r="C21" s="36">
        <v>68</v>
      </c>
      <c r="D21" s="11">
        <f t="shared" si="1"/>
        <v>4.6153846153846156E-2</v>
      </c>
      <c r="I21" s="4" t="s">
        <v>632</v>
      </c>
      <c r="J21" s="36">
        <v>101</v>
      </c>
      <c r="K21" s="36">
        <v>96</v>
      </c>
      <c r="L21" s="11">
        <f>(K21-J21)/J21</f>
        <v>-4.9504950495049507E-2</v>
      </c>
    </row>
    <row r="22" spans="1:12" x14ac:dyDescent="0.25">
      <c r="A22" s="4" t="s">
        <v>635</v>
      </c>
      <c r="B22" s="36">
        <v>289</v>
      </c>
      <c r="C22" s="36">
        <v>311</v>
      </c>
      <c r="D22" s="12">
        <f t="shared" si="1"/>
        <v>7.6124567474048443E-2</v>
      </c>
      <c r="I22" s="4" t="s">
        <v>635</v>
      </c>
      <c r="J22" s="36">
        <v>289</v>
      </c>
      <c r="K22" s="36">
        <v>311</v>
      </c>
      <c r="L22" s="12">
        <f>(K22-J22)/J22</f>
        <v>7.6124567474048443E-2</v>
      </c>
    </row>
    <row r="26" spans="1:12" x14ac:dyDescent="0.25">
      <c r="A26" s="20" t="s">
        <v>716</v>
      </c>
      <c r="I26" s="20" t="s">
        <v>715</v>
      </c>
    </row>
    <row r="27" spans="1:12" x14ac:dyDescent="0.25">
      <c r="A27" s="3" t="s">
        <v>713</v>
      </c>
      <c r="B27" s="3" t="s">
        <v>663</v>
      </c>
      <c r="I27" s="3" t="s">
        <v>713</v>
      </c>
      <c r="J27" s="3" t="s">
        <v>663</v>
      </c>
    </row>
    <row r="28" spans="1:12" x14ac:dyDescent="0.25">
      <c r="A28" s="3" t="s">
        <v>660</v>
      </c>
      <c r="B28" t="s">
        <v>654</v>
      </c>
      <c r="C28" t="s">
        <v>655</v>
      </c>
      <c r="D28" s="22" t="s">
        <v>669</v>
      </c>
      <c r="I28" s="3" t="s">
        <v>4</v>
      </c>
      <c r="J28" t="s">
        <v>655</v>
      </c>
    </row>
    <row r="29" spans="1:12" x14ac:dyDescent="0.25">
      <c r="A29" s="4" t="s">
        <v>625</v>
      </c>
      <c r="B29" s="36">
        <v>45</v>
      </c>
      <c r="C29" s="36">
        <v>67</v>
      </c>
      <c r="D29" s="11">
        <f t="shared" ref="D29:D35" si="2">(C29-B29)/B29</f>
        <v>0.48888888888888887</v>
      </c>
      <c r="I29" s="4" t="s">
        <v>623</v>
      </c>
      <c r="J29" s="36">
        <v>71</v>
      </c>
    </row>
    <row r="30" spans="1:12" x14ac:dyDescent="0.25">
      <c r="A30" s="4" t="s">
        <v>628</v>
      </c>
      <c r="B30" s="36">
        <v>56</v>
      </c>
      <c r="C30" s="36">
        <v>53</v>
      </c>
      <c r="D30" s="11">
        <f t="shared" si="2"/>
        <v>-5.3571428571428568E-2</v>
      </c>
      <c r="I30" s="4" t="s">
        <v>620</v>
      </c>
      <c r="J30" s="36">
        <v>57</v>
      </c>
    </row>
    <row r="31" spans="1:12" x14ac:dyDescent="0.25">
      <c r="A31" s="4" t="s">
        <v>626</v>
      </c>
      <c r="B31" s="36">
        <v>52</v>
      </c>
      <c r="C31" s="36">
        <v>49</v>
      </c>
      <c r="D31" s="11">
        <f t="shared" si="2"/>
        <v>-5.7692307692307696E-2</v>
      </c>
      <c r="I31" s="4" t="s">
        <v>621</v>
      </c>
      <c r="J31" s="36">
        <v>50</v>
      </c>
    </row>
    <row r="32" spans="1:12" x14ac:dyDescent="0.25">
      <c r="A32" s="4" t="s">
        <v>630</v>
      </c>
      <c r="B32" s="36">
        <v>51</v>
      </c>
      <c r="C32" s="36">
        <v>49</v>
      </c>
      <c r="D32" s="11">
        <f t="shared" si="2"/>
        <v>-3.9215686274509803E-2</v>
      </c>
      <c r="I32" s="4" t="s">
        <v>624</v>
      </c>
      <c r="J32" s="36">
        <v>65</v>
      </c>
    </row>
    <row r="33" spans="1:10" x14ac:dyDescent="0.25">
      <c r="A33" s="4" t="s">
        <v>627</v>
      </c>
      <c r="B33" s="36">
        <v>48</v>
      </c>
      <c r="C33" s="36">
        <v>47</v>
      </c>
      <c r="D33" s="11">
        <f t="shared" si="2"/>
        <v>-2.0833333333333332E-2</v>
      </c>
      <c r="I33" s="4" t="s">
        <v>622</v>
      </c>
      <c r="J33" s="36">
        <v>68</v>
      </c>
    </row>
    <row r="34" spans="1:10" x14ac:dyDescent="0.25">
      <c r="A34" s="4" t="s">
        <v>629</v>
      </c>
      <c r="B34" s="36">
        <v>37</v>
      </c>
      <c r="C34" s="36">
        <v>46</v>
      </c>
      <c r="D34" s="11">
        <f t="shared" si="2"/>
        <v>0.24324324324324326</v>
      </c>
      <c r="I34" s="4" t="s">
        <v>635</v>
      </c>
      <c r="J34" s="36">
        <v>311</v>
      </c>
    </row>
    <row r="35" spans="1:10" x14ac:dyDescent="0.25">
      <c r="A35" s="4" t="s">
        <v>635</v>
      </c>
      <c r="B35" s="36">
        <v>289</v>
      </c>
      <c r="C35" s="36">
        <v>311</v>
      </c>
      <c r="D35" s="12">
        <f t="shared" si="2"/>
        <v>7.6124567474048443E-2</v>
      </c>
    </row>
    <row r="39" spans="1:10" x14ac:dyDescent="0.25">
      <c r="A39" s="3" t="s">
        <v>698</v>
      </c>
      <c r="B39" s="3" t="s">
        <v>663</v>
      </c>
    </row>
    <row r="40" spans="1:10" x14ac:dyDescent="0.25">
      <c r="A40" s="3" t="s">
        <v>681</v>
      </c>
      <c r="B40" t="s">
        <v>654</v>
      </c>
      <c r="C40" t="s">
        <v>655</v>
      </c>
    </row>
    <row r="41" spans="1:10" x14ac:dyDescent="0.25">
      <c r="A41" s="4" t="s">
        <v>642</v>
      </c>
      <c r="B41" s="36">
        <v>25</v>
      </c>
      <c r="C41" s="36">
        <v>31</v>
      </c>
    </row>
    <row r="42" spans="1:10" x14ac:dyDescent="0.25">
      <c r="A42" s="4" t="s">
        <v>643</v>
      </c>
      <c r="B42" s="36">
        <v>30</v>
      </c>
      <c r="C42" s="36">
        <v>26</v>
      </c>
    </row>
    <row r="43" spans="1:10" x14ac:dyDescent="0.25">
      <c r="A43" s="4" t="s">
        <v>644</v>
      </c>
      <c r="B43" s="36">
        <v>16</v>
      </c>
      <c r="C43" s="36">
        <v>19</v>
      </c>
    </row>
    <row r="44" spans="1:10" x14ac:dyDescent="0.25">
      <c r="A44" s="4" t="s">
        <v>645</v>
      </c>
      <c r="B44" s="36">
        <v>33</v>
      </c>
      <c r="C44" s="36">
        <v>29</v>
      </c>
    </row>
    <row r="45" spans="1:10" x14ac:dyDescent="0.25">
      <c r="A45" s="4" t="s">
        <v>646</v>
      </c>
      <c r="B45" s="36">
        <v>25</v>
      </c>
      <c r="C45" s="36">
        <v>31</v>
      </c>
    </row>
    <row r="46" spans="1:10" x14ac:dyDescent="0.25">
      <c r="A46" s="4" t="s">
        <v>647</v>
      </c>
      <c r="B46" s="36">
        <v>23</v>
      </c>
      <c r="C46" s="36">
        <v>11</v>
      </c>
    </row>
    <row r="47" spans="1:10" x14ac:dyDescent="0.25">
      <c r="A47" s="4" t="s">
        <v>648</v>
      </c>
      <c r="B47" s="36">
        <v>25</v>
      </c>
      <c r="C47" s="36">
        <v>33</v>
      </c>
    </row>
    <row r="48" spans="1:10" x14ac:dyDescent="0.25">
      <c r="A48" s="4" t="s">
        <v>649</v>
      </c>
      <c r="B48" s="36">
        <v>29</v>
      </c>
      <c r="C48" s="36">
        <v>17</v>
      </c>
    </row>
    <row r="49" spans="1:3" x14ac:dyDescent="0.25">
      <c r="A49" s="4" t="s">
        <v>650</v>
      </c>
      <c r="B49" s="36">
        <v>25</v>
      </c>
      <c r="C49" s="36">
        <v>26</v>
      </c>
    </row>
    <row r="50" spans="1:3" x14ac:dyDescent="0.25">
      <c r="A50" s="4" t="s">
        <v>651</v>
      </c>
      <c r="B50" s="36">
        <v>22</v>
      </c>
      <c r="C50" s="36">
        <v>33</v>
      </c>
    </row>
    <row r="51" spans="1:3" x14ac:dyDescent="0.25">
      <c r="A51" s="4" t="s">
        <v>652</v>
      </c>
      <c r="B51" s="36">
        <v>13</v>
      </c>
      <c r="C51" s="36">
        <v>34</v>
      </c>
    </row>
    <row r="52" spans="1:3" x14ac:dyDescent="0.25">
      <c r="A52" s="4" t="s">
        <v>653</v>
      </c>
      <c r="B52" s="36">
        <v>23</v>
      </c>
      <c r="C52" s="36">
        <v>21</v>
      </c>
    </row>
    <row r="53" spans="1:3" x14ac:dyDescent="0.25">
      <c r="A53" s="4" t="s">
        <v>635</v>
      </c>
      <c r="B53" s="36">
        <v>289</v>
      </c>
      <c r="C53" s="36">
        <v>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D8F93-032C-45DB-A19E-941F75E9C138}">
  <sheetPr>
    <tabColor rgb="FF00B050"/>
  </sheetPr>
  <dimension ref="B7:H45"/>
  <sheetViews>
    <sheetView showGridLines="0" workbookViewId="0">
      <selection activeCell="G14" sqref="G14"/>
    </sheetView>
  </sheetViews>
  <sheetFormatPr defaultRowHeight="15" x14ac:dyDescent="0.25"/>
  <cols>
    <col min="2" max="2" width="18.85546875" bestFit="1" customWidth="1"/>
    <col min="3" max="3" width="7.28515625" bestFit="1" customWidth="1"/>
    <col min="4" max="4" width="8.28515625" bestFit="1" customWidth="1"/>
    <col min="5" max="5" width="6.7109375" bestFit="1" customWidth="1"/>
    <col min="6" max="6" width="7.140625" bestFit="1" customWidth="1"/>
    <col min="7" max="7" width="6.5703125" bestFit="1" customWidth="1"/>
    <col min="8" max="8" width="11.28515625" bestFit="1" customWidth="1"/>
    <col min="11" max="11" width="15.42578125" bestFit="1" customWidth="1"/>
    <col min="12" max="12" width="16.28515625" bestFit="1" customWidth="1"/>
    <col min="13" max="14" width="11.28515625" bestFit="1" customWidth="1"/>
  </cols>
  <sheetData>
    <row r="7" spans="2:5" x14ac:dyDescent="0.25">
      <c r="B7" s="3" t="s">
        <v>694</v>
      </c>
      <c r="C7" s="3" t="s">
        <v>663</v>
      </c>
    </row>
    <row r="8" spans="2:5" x14ac:dyDescent="0.25">
      <c r="B8" s="3" t="s">
        <v>2</v>
      </c>
      <c r="C8" t="s">
        <v>654</v>
      </c>
      <c r="D8" t="s">
        <v>655</v>
      </c>
      <c r="E8" t="s">
        <v>635</v>
      </c>
    </row>
    <row r="9" spans="2:5" x14ac:dyDescent="0.25">
      <c r="B9" s="4" t="s">
        <v>615</v>
      </c>
      <c r="C9" s="36">
        <v>299</v>
      </c>
      <c r="D9" s="36">
        <v>366</v>
      </c>
      <c r="E9" s="36">
        <v>665</v>
      </c>
    </row>
    <row r="10" spans="2:5" x14ac:dyDescent="0.25">
      <c r="B10" s="4" t="s">
        <v>616</v>
      </c>
      <c r="C10" s="36">
        <v>328</v>
      </c>
      <c r="D10" s="36">
        <v>280</v>
      </c>
      <c r="E10" s="36">
        <v>608</v>
      </c>
    </row>
    <row r="11" spans="2:5" x14ac:dyDescent="0.25">
      <c r="B11" s="4" t="s">
        <v>613</v>
      </c>
      <c r="C11" s="36">
        <v>256</v>
      </c>
      <c r="D11" s="36">
        <v>284</v>
      </c>
      <c r="E11" s="36">
        <v>540</v>
      </c>
    </row>
    <row r="12" spans="2:5" x14ac:dyDescent="0.25">
      <c r="B12" s="4" t="s">
        <v>614</v>
      </c>
      <c r="C12" s="36">
        <v>275</v>
      </c>
      <c r="D12" s="36">
        <v>265</v>
      </c>
      <c r="E12" s="36">
        <v>540</v>
      </c>
    </row>
    <row r="13" spans="2:5" x14ac:dyDescent="0.25">
      <c r="B13" s="4" t="s">
        <v>617</v>
      </c>
      <c r="C13" s="36">
        <v>256</v>
      </c>
      <c r="D13" s="36">
        <v>355</v>
      </c>
      <c r="E13" s="36">
        <v>611</v>
      </c>
    </row>
    <row r="14" spans="2:5" x14ac:dyDescent="0.25">
      <c r="B14" s="4" t="s">
        <v>635</v>
      </c>
      <c r="C14" s="36">
        <v>1414</v>
      </c>
      <c r="D14" s="36">
        <v>1550</v>
      </c>
      <c r="E14" s="36">
        <v>2964</v>
      </c>
    </row>
    <row r="18" spans="2:8" x14ac:dyDescent="0.25">
      <c r="B18" s="3" t="s">
        <v>701</v>
      </c>
      <c r="C18" s="3" t="s">
        <v>663</v>
      </c>
    </row>
    <row r="19" spans="2:8" x14ac:dyDescent="0.25">
      <c r="B19" s="3" t="s">
        <v>2</v>
      </c>
      <c r="C19" t="s">
        <v>655</v>
      </c>
      <c r="D19" t="s">
        <v>635</v>
      </c>
    </row>
    <row r="20" spans="2:8" x14ac:dyDescent="0.25">
      <c r="B20" s="4" t="s">
        <v>615</v>
      </c>
      <c r="C20" s="36">
        <v>366</v>
      </c>
      <c r="D20" s="36">
        <v>366</v>
      </c>
    </row>
    <row r="21" spans="2:8" x14ac:dyDescent="0.25">
      <c r="B21" s="4" t="s">
        <v>616</v>
      </c>
      <c r="C21" s="36">
        <v>280</v>
      </c>
      <c r="D21" s="36">
        <v>280</v>
      </c>
    </row>
    <row r="22" spans="2:8" x14ac:dyDescent="0.25">
      <c r="B22" s="4" t="s">
        <v>613</v>
      </c>
      <c r="C22" s="36">
        <v>284</v>
      </c>
      <c r="D22" s="36">
        <v>284</v>
      </c>
    </row>
    <row r="23" spans="2:8" x14ac:dyDescent="0.25">
      <c r="B23" s="4" t="s">
        <v>614</v>
      </c>
      <c r="C23" s="36">
        <v>265</v>
      </c>
      <c r="D23" s="36">
        <v>265</v>
      </c>
    </row>
    <row r="24" spans="2:8" x14ac:dyDescent="0.25">
      <c r="B24" s="4" t="s">
        <v>617</v>
      </c>
      <c r="C24" s="36">
        <v>355</v>
      </c>
      <c r="D24" s="36">
        <v>355</v>
      </c>
    </row>
    <row r="25" spans="2:8" x14ac:dyDescent="0.25">
      <c r="B25" s="4" t="s">
        <v>635</v>
      </c>
      <c r="C25" s="36">
        <v>1550</v>
      </c>
      <c r="D25" s="36">
        <v>1550</v>
      </c>
    </row>
    <row r="29" spans="2:8" x14ac:dyDescent="0.25">
      <c r="B29" s="3" t="s">
        <v>670</v>
      </c>
      <c r="C29" t="s">
        <v>655</v>
      </c>
    </row>
    <row r="31" spans="2:8" x14ac:dyDescent="0.25">
      <c r="B31" s="3" t="s">
        <v>676</v>
      </c>
      <c r="C31" s="3" t="s">
        <v>663</v>
      </c>
    </row>
    <row r="32" spans="2:8" x14ac:dyDescent="0.25">
      <c r="B32" s="3" t="s">
        <v>675</v>
      </c>
      <c r="C32" s="13" t="s">
        <v>615</v>
      </c>
      <c r="D32" s="13" t="s">
        <v>616</v>
      </c>
      <c r="E32" s="13" t="s">
        <v>613</v>
      </c>
      <c r="F32" s="13" t="s">
        <v>614</v>
      </c>
      <c r="G32" s="13" t="s">
        <v>617</v>
      </c>
      <c r="H32" s="13" t="s">
        <v>635</v>
      </c>
    </row>
    <row r="33" spans="2:8" x14ac:dyDescent="0.25">
      <c r="B33" s="4" t="s">
        <v>642</v>
      </c>
      <c r="C33" s="37">
        <v>27</v>
      </c>
      <c r="D33" s="37">
        <v>33</v>
      </c>
      <c r="E33" s="37">
        <v>25</v>
      </c>
      <c r="F33" s="37">
        <v>26</v>
      </c>
      <c r="G33" s="37">
        <v>40</v>
      </c>
      <c r="H33" s="37">
        <v>151</v>
      </c>
    </row>
    <row r="34" spans="2:8" x14ac:dyDescent="0.25">
      <c r="B34" s="4" t="s">
        <v>643</v>
      </c>
      <c r="C34" s="37">
        <v>32</v>
      </c>
      <c r="D34" s="37">
        <v>9</v>
      </c>
      <c r="E34" s="37">
        <v>20</v>
      </c>
      <c r="F34" s="37">
        <v>29</v>
      </c>
      <c r="G34" s="37">
        <v>47</v>
      </c>
      <c r="H34" s="37">
        <v>137</v>
      </c>
    </row>
    <row r="35" spans="2:8" x14ac:dyDescent="0.25">
      <c r="B35" s="4" t="s">
        <v>644</v>
      </c>
      <c r="C35" s="37">
        <v>11</v>
      </c>
      <c r="D35" s="37">
        <v>19</v>
      </c>
      <c r="E35" s="37">
        <v>12</v>
      </c>
      <c r="F35" s="37">
        <v>38</v>
      </c>
      <c r="G35" s="37">
        <v>15</v>
      </c>
      <c r="H35" s="37">
        <v>95</v>
      </c>
    </row>
    <row r="36" spans="2:8" x14ac:dyDescent="0.25">
      <c r="B36" s="4" t="s">
        <v>645</v>
      </c>
      <c r="C36" s="37">
        <v>46</v>
      </c>
      <c r="D36" s="37">
        <v>21</v>
      </c>
      <c r="E36" s="37">
        <v>48</v>
      </c>
      <c r="F36" s="37">
        <v>6</v>
      </c>
      <c r="G36" s="37">
        <v>54</v>
      </c>
      <c r="H36" s="37">
        <v>175</v>
      </c>
    </row>
    <row r="37" spans="2:8" x14ac:dyDescent="0.25">
      <c r="B37" s="4" t="s">
        <v>646</v>
      </c>
      <c r="C37" s="37">
        <v>42</v>
      </c>
      <c r="D37" s="37">
        <v>28</v>
      </c>
      <c r="E37" s="37">
        <v>33</v>
      </c>
      <c r="F37" s="37">
        <v>13</v>
      </c>
      <c r="G37" s="37">
        <v>19</v>
      </c>
      <c r="H37" s="37">
        <v>135</v>
      </c>
    </row>
    <row r="38" spans="2:8" x14ac:dyDescent="0.25">
      <c r="B38" s="4" t="s">
        <v>647</v>
      </c>
      <c r="C38" s="37">
        <v>10</v>
      </c>
      <c r="D38" s="37">
        <v>15</v>
      </c>
      <c r="E38" s="37">
        <v>4</v>
      </c>
      <c r="F38" s="37">
        <v>5</v>
      </c>
      <c r="G38" s="37">
        <v>20</v>
      </c>
      <c r="H38" s="37">
        <v>54</v>
      </c>
    </row>
    <row r="39" spans="2:8" x14ac:dyDescent="0.25">
      <c r="B39" s="4" t="s">
        <v>648</v>
      </c>
      <c r="C39" s="37">
        <v>26</v>
      </c>
      <c r="D39" s="37">
        <v>50</v>
      </c>
      <c r="E39" s="37">
        <v>32</v>
      </c>
      <c r="F39" s="37">
        <v>20</v>
      </c>
      <c r="G39" s="37">
        <v>36</v>
      </c>
      <c r="H39" s="37">
        <v>164</v>
      </c>
    </row>
    <row r="40" spans="2:8" x14ac:dyDescent="0.25">
      <c r="B40" s="4" t="s">
        <v>649</v>
      </c>
      <c r="C40" s="37">
        <v>29</v>
      </c>
      <c r="D40" s="37">
        <v>8</v>
      </c>
      <c r="E40" s="37">
        <v>6</v>
      </c>
      <c r="F40" s="37">
        <v>23</v>
      </c>
      <c r="G40" s="37">
        <v>17</v>
      </c>
      <c r="H40" s="37">
        <v>83</v>
      </c>
    </row>
    <row r="41" spans="2:8" x14ac:dyDescent="0.25">
      <c r="B41" s="4" t="s">
        <v>650</v>
      </c>
      <c r="C41" s="37">
        <v>13</v>
      </c>
      <c r="D41" s="37">
        <v>20</v>
      </c>
      <c r="E41" s="37">
        <v>22</v>
      </c>
      <c r="F41" s="37">
        <v>28</v>
      </c>
      <c r="G41" s="37">
        <v>45</v>
      </c>
      <c r="H41" s="37">
        <v>128</v>
      </c>
    </row>
    <row r="42" spans="2:8" x14ac:dyDescent="0.25">
      <c r="B42" s="4" t="s">
        <v>651</v>
      </c>
      <c r="C42" s="37">
        <v>44</v>
      </c>
      <c r="D42" s="37">
        <v>21</v>
      </c>
      <c r="E42" s="37">
        <v>27</v>
      </c>
      <c r="F42" s="37">
        <v>27</v>
      </c>
      <c r="G42" s="37">
        <v>19</v>
      </c>
      <c r="H42" s="37">
        <v>138</v>
      </c>
    </row>
    <row r="43" spans="2:8" x14ac:dyDescent="0.25">
      <c r="B43" s="4" t="s">
        <v>652</v>
      </c>
      <c r="C43" s="37">
        <v>37</v>
      </c>
      <c r="D43" s="37">
        <v>40</v>
      </c>
      <c r="E43" s="37">
        <v>32</v>
      </c>
      <c r="F43" s="37">
        <v>41</v>
      </c>
      <c r="G43" s="37">
        <v>38</v>
      </c>
      <c r="H43" s="37">
        <v>188</v>
      </c>
    </row>
    <row r="44" spans="2:8" x14ac:dyDescent="0.25">
      <c r="B44" s="4" t="s">
        <v>653</v>
      </c>
      <c r="C44" s="37">
        <v>49</v>
      </c>
      <c r="D44" s="37">
        <v>16</v>
      </c>
      <c r="E44" s="37">
        <v>23</v>
      </c>
      <c r="F44" s="37">
        <v>9</v>
      </c>
      <c r="G44" s="37">
        <v>5</v>
      </c>
      <c r="H44" s="37">
        <v>102</v>
      </c>
    </row>
    <row r="45" spans="2:8" x14ac:dyDescent="0.25">
      <c r="B45" s="4" t="s">
        <v>635</v>
      </c>
      <c r="C45" s="37">
        <v>366</v>
      </c>
      <c r="D45" s="37">
        <v>280</v>
      </c>
      <c r="E45" s="37">
        <v>284</v>
      </c>
      <c r="F45" s="37">
        <v>265</v>
      </c>
      <c r="G45" s="37">
        <v>355</v>
      </c>
      <c r="H45" s="37">
        <v>1550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5C8BD-33D6-481E-AD94-FEE05A753AF3}">
  <sheetPr>
    <tabColor theme="7"/>
  </sheetPr>
  <dimension ref="A2:K31"/>
  <sheetViews>
    <sheetView showGridLines="0" workbookViewId="0">
      <selection activeCell="B8" sqref="B8"/>
    </sheetView>
  </sheetViews>
  <sheetFormatPr defaultRowHeight="15" x14ac:dyDescent="0.25"/>
  <cols>
    <col min="1" max="1" width="11.28515625" bestFit="1" customWidth="1"/>
    <col min="2" max="2" width="13.7109375" bestFit="1" customWidth="1"/>
    <col min="3" max="3" width="9" bestFit="1" customWidth="1"/>
    <col min="4" max="4" width="11.28515625" bestFit="1" customWidth="1"/>
    <col min="5" max="5" width="18.140625" bestFit="1" customWidth="1"/>
    <col min="6" max="7" width="15.42578125" bestFit="1" customWidth="1"/>
    <col min="8" max="9" width="9" bestFit="1" customWidth="1"/>
    <col min="10" max="10" width="11.28515625" bestFit="1" customWidth="1"/>
    <col min="11" max="15" width="12" bestFit="1" customWidth="1"/>
    <col min="16" max="17" width="11" bestFit="1" customWidth="1"/>
    <col min="18" max="18" width="12" bestFit="1" customWidth="1"/>
  </cols>
  <sheetData>
    <row r="2" spans="1:11" x14ac:dyDescent="0.25">
      <c r="G2" t="s">
        <v>665</v>
      </c>
    </row>
    <row r="3" spans="1:11" x14ac:dyDescent="0.25">
      <c r="A3" s="20" t="s">
        <v>673</v>
      </c>
    </row>
    <row r="4" spans="1:11" x14ac:dyDescent="0.25">
      <c r="A4" s="3" t="s">
        <v>680</v>
      </c>
      <c r="B4" t="s">
        <v>673</v>
      </c>
      <c r="G4" s="20" t="s">
        <v>702</v>
      </c>
    </row>
    <row r="5" spans="1:11" x14ac:dyDescent="0.25">
      <c r="A5" s="4" t="s">
        <v>654</v>
      </c>
      <c r="B5" s="17">
        <v>37307786.419182375</v>
      </c>
      <c r="G5" s="3" t="s">
        <v>640</v>
      </c>
      <c r="H5" s="3" t="s">
        <v>663</v>
      </c>
    </row>
    <row r="6" spans="1:11" x14ac:dyDescent="0.25">
      <c r="A6" s="4" t="s">
        <v>655</v>
      </c>
      <c r="B6" s="17">
        <v>46326907.43227458</v>
      </c>
      <c r="G6" s="3" t="s">
        <v>4</v>
      </c>
      <c r="H6" s="13" t="s">
        <v>654</v>
      </c>
      <c r="I6" s="13" t="s">
        <v>655</v>
      </c>
      <c r="J6" s="13" t="s">
        <v>635</v>
      </c>
      <c r="K6" s="14" t="s">
        <v>664</v>
      </c>
    </row>
    <row r="7" spans="1:11" x14ac:dyDescent="0.25">
      <c r="A7" s="4" t="s">
        <v>635</v>
      </c>
      <c r="B7" s="17">
        <v>83634693.851456955</v>
      </c>
      <c r="G7" s="4" t="s">
        <v>628</v>
      </c>
      <c r="H7" s="17">
        <v>5549632.108122238</v>
      </c>
      <c r="I7" s="17">
        <v>7564427.2145998096</v>
      </c>
      <c r="J7" s="17">
        <v>13114059.322722048</v>
      </c>
      <c r="K7" s="11">
        <f t="shared" ref="K7:K13" si="0">(I7-H7)/H7</f>
        <v>0.36305021075699623</v>
      </c>
    </row>
    <row r="8" spans="1:11" x14ac:dyDescent="0.25">
      <c r="G8" s="4" t="s">
        <v>626</v>
      </c>
      <c r="H8" s="17">
        <v>7694164.1286757188</v>
      </c>
      <c r="I8" s="17">
        <v>8210194.4362824867</v>
      </c>
      <c r="J8" s="17">
        <v>15904358.564958205</v>
      </c>
      <c r="K8" s="11">
        <f t="shared" si="0"/>
        <v>6.7067754076567176E-2</v>
      </c>
    </row>
    <row r="9" spans="1:11" x14ac:dyDescent="0.25">
      <c r="A9" s="20" t="s">
        <v>696</v>
      </c>
      <c r="G9" s="4" t="s">
        <v>625</v>
      </c>
      <c r="H9" s="17">
        <v>5419225.1527567199</v>
      </c>
      <c r="I9" s="17">
        <v>8771692.9365665913</v>
      </c>
      <c r="J9" s="17">
        <v>14190918.089323312</v>
      </c>
      <c r="K9" s="11">
        <f t="shared" si="0"/>
        <v>0.61862493055939849</v>
      </c>
    </row>
    <row r="10" spans="1:11" x14ac:dyDescent="0.25">
      <c r="A10" s="3" t="s">
        <v>696</v>
      </c>
      <c r="B10" s="3" t="s">
        <v>663</v>
      </c>
      <c r="G10" s="4" t="s">
        <v>627</v>
      </c>
      <c r="H10" s="17">
        <v>5750364.8739424702</v>
      </c>
      <c r="I10" s="17">
        <v>6516097.2232158594</v>
      </c>
      <c r="J10" s="17">
        <v>12266462.09715833</v>
      </c>
      <c r="K10" s="11">
        <f t="shared" si="0"/>
        <v>0.13316239335407606</v>
      </c>
    </row>
    <row r="11" spans="1:11" x14ac:dyDescent="0.25">
      <c r="A11" s="15" t="s">
        <v>4</v>
      </c>
      <c r="B11" s="13" t="s">
        <v>654</v>
      </c>
      <c r="C11" s="13" t="s">
        <v>655</v>
      </c>
      <c r="D11" s="13" t="s">
        <v>635</v>
      </c>
      <c r="E11" s="14" t="s">
        <v>664</v>
      </c>
      <c r="G11" s="4" t="s">
        <v>630</v>
      </c>
      <c r="H11" s="17">
        <v>6756638.4806652544</v>
      </c>
      <c r="I11" s="17">
        <v>8575042.335551478</v>
      </c>
      <c r="J11" s="17">
        <v>15331680.816216733</v>
      </c>
      <c r="K11" s="11">
        <f t="shared" si="0"/>
        <v>0.26912848157996827</v>
      </c>
    </row>
    <row r="12" spans="1:11" x14ac:dyDescent="0.25">
      <c r="A12" s="4" t="s">
        <v>623</v>
      </c>
      <c r="B12" s="17">
        <v>9052789.0601424761</v>
      </c>
      <c r="C12" s="17">
        <v>9811267.8509827293</v>
      </c>
      <c r="D12" s="17">
        <v>18864056.911125205</v>
      </c>
      <c r="E12" s="11">
        <f t="shared" ref="E12:E17" si="1">(C12-B12)/B12</f>
        <v>8.3783990304123576E-2</v>
      </c>
      <c r="G12" s="4" t="s">
        <v>629</v>
      </c>
      <c r="H12" s="17">
        <v>6137761.6750199404</v>
      </c>
      <c r="I12" s="17">
        <v>6689453.2860583514</v>
      </c>
      <c r="J12" s="17">
        <v>12827214.961078292</v>
      </c>
      <c r="K12" s="11">
        <f t="shared" si="0"/>
        <v>8.9884821250675026E-2</v>
      </c>
    </row>
    <row r="13" spans="1:11" x14ac:dyDescent="0.25">
      <c r="A13" s="4" t="s">
        <v>620</v>
      </c>
      <c r="B13" s="17">
        <v>7588730.5193083165</v>
      </c>
      <c r="C13" s="17">
        <v>9746388.5575738978</v>
      </c>
      <c r="D13" s="17">
        <v>17335119.076882213</v>
      </c>
      <c r="E13" s="11">
        <f t="shared" si="1"/>
        <v>0.28432397655652208</v>
      </c>
      <c r="G13" s="4" t="s">
        <v>635</v>
      </c>
      <c r="H13" s="17">
        <v>37307786.419182338</v>
      </c>
      <c r="I13" s="17">
        <v>46326907.43227458</v>
      </c>
      <c r="J13" s="17">
        <v>83634693.85145691</v>
      </c>
      <c r="K13" s="12">
        <f t="shared" si="0"/>
        <v>0.24174902557217737</v>
      </c>
    </row>
    <row r="14" spans="1:11" x14ac:dyDescent="0.25">
      <c r="A14" s="4" t="s">
        <v>621</v>
      </c>
      <c r="B14" s="17">
        <v>6191042.4981899066</v>
      </c>
      <c r="C14" s="17">
        <v>6623659.8023815034</v>
      </c>
      <c r="D14" s="17">
        <v>12814702.30057141</v>
      </c>
      <c r="E14" s="11">
        <f t="shared" si="1"/>
        <v>6.9877941286638295E-2</v>
      </c>
    </row>
    <row r="15" spans="1:11" x14ac:dyDescent="0.25">
      <c r="A15" s="4" t="s">
        <v>624</v>
      </c>
      <c r="B15" s="17">
        <v>7096752.6742868619</v>
      </c>
      <c r="C15" s="17">
        <v>9994996.953936113</v>
      </c>
      <c r="D15" s="17">
        <v>17091749.628222976</v>
      </c>
      <c r="E15" s="11">
        <f t="shared" si="1"/>
        <v>0.40839020502295997</v>
      </c>
    </row>
    <row r="16" spans="1:11" x14ac:dyDescent="0.25">
      <c r="A16" s="4" t="s">
        <v>622</v>
      </c>
      <c r="B16" s="17">
        <v>7378471.6672547795</v>
      </c>
      <c r="C16" s="17">
        <v>10150594.267400336</v>
      </c>
      <c r="D16" s="17">
        <v>17529065.934655115</v>
      </c>
      <c r="E16" s="11">
        <f t="shared" si="1"/>
        <v>0.37570417359574232</v>
      </c>
      <c r="G16" s="21" t="s">
        <v>697</v>
      </c>
    </row>
    <row r="17" spans="1:11" x14ac:dyDescent="0.25">
      <c r="A17" s="4" t="s">
        <v>635</v>
      </c>
      <c r="B17" s="17">
        <v>37307786.419182345</v>
      </c>
      <c r="C17" s="17">
        <v>46326907.43227458</v>
      </c>
      <c r="D17" s="17">
        <v>83634693.851456925</v>
      </c>
      <c r="E17" s="12">
        <f t="shared" si="1"/>
        <v>0.24174902557217712</v>
      </c>
      <c r="G17" s="3" t="s">
        <v>640</v>
      </c>
      <c r="H17" s="3" t="s">
        <v>663</v>
      </c>
    </row>
    <row r="18" spans="1:11" x14ac:dyDescent="0.25">
      <c r="G18" s="3" t="s">
        <v>657</v>
      </c>
      <c r="H18" s="13" t="s">
        <v>654</v>
      </c>
      <c r="I18" s="13" t="s">
        <v>655</v>
      </c>
      <c r="J18" s="13" t="s">
        <v>635</v>
      </c>
      <c r="K18" s="14" t="s">
        <v>664</v>
      </c>
    </row>
    <row r="19" spans="1:11" x14ac:dyDescent="0.25">
      <c r="G19" s="4" t="s">
        <v>642</v>
      </c>
      <c r="H19" s="17">
        <v>3468661.6313356287</v>
      </c>
      <c r="I19" s="17">
        <v>3456623.1890531061</v>
      </c>
      <c r="J19" s="17">
        <v>6925284.8203887343</v>
      </c>
      <c r="K19" s="11">
        <f t="shared" ref="K19:K25" si="2">(I19-H19)/H19</f>
        <v>-3.470630335852935E-3</v>
      </c>
    </row>
    <row r="20" spans="1:11" x14ac:dyDescent="0.25">
      <c r="A20" s="21" t="s">
        <v>695</v>
      </c>
      <c r="G20" s="4" t="s">
        <v>643</v>
      </c>
      <c r="H20" s="17">
        <v>3396045.9898071028</v>
      </c>
      <c r="I20" s="17">
        <v>4075769.5272891894</v>
      </c>
      <c r="J20" s="17">
        <v>7471815.5170962922</v>
      </c>
      <c r="K20" s="11">
        <f t="shared" si="2"/>
        <v>0.20015145246036412</v>
      </c>
    </row>
    <row r="21" spans="1:11" x14ac:dyDescent="0.25">
      <c r="A21" s="3" t="s">
        <v>700</v>
      </c>
      <c r="B21" s="3" t="s">
        <v>663</v>
      </c>
      <c r="G21" s="4" t="s">
        <v>644</v>
      </c>
      <c r="H21" s="17">
        <v>2050900.8541402391</v>
      </c>
      <c r="I21" s="17">
        <v>2878552.9552802327</v>
      </c>
      <c r="J21" s="17">
        <v>4929453.809420472</v>
      </c>
      <c r="K21" s="11">
        <f t="shared" si="2"/>
        <v>0.40355539345998998</v>
      </c>
    </row>
    <row r="22" spans="1:11" x14ac:dyDescent="0.25">
      <c r="A22" s="3" t="s">
        <v>671</v>
      </c>
      <c r="B22" s="13" t="s">
        <v>654</v>
      </c>
      <c r="C22" s="13" t="s">
        <v>655</v>
      </c>
      <c r="D22" s="13" t="s">
        <v>635</v>
      </c>
      <c r="E22" s="14" t="s">
        <v>664</v>
      </c>
      <c r="G22" s="4" t="s">
        <v>645</v>
      </c>
      <c r="H22" s="17">
        <v>3847517.356468197</v>
      </c>
      <c r="I22" s="17">
        <v>6574042.7184278229</v>
      </c>
      <c r="J22" s="17">
        <v>10421560.074896019</v>
      </c>
      <c r="K22" s="11">
        <f t="shared" si="2"/>
        <v>0.70864537033886754</v>
      </c>
    </row>
    <row r="23" spans="1:11" x14ac:dyDescent="0.25">
      <c r="A23" s="4" t="s">
        <v>615</v>
      </c>
      <c r="B23" s="17">
        <v>8810002.2043071557</v>
      </c>
      <c r="C23" s="17">
        <v>10513441.906927172</v>
      </c>
      <c r="D23" s="17">
        <v>19323444.11123433</v>
      </c>
      <c r="E23" s="11">
        <f t="shared" ref="E23:E28" si="3">(C23-B23)/B23</f>
        <v>0.1933529258128012</v>
      </c>
      <c r="G23" s="4" t="s">
        <v>646</v>
      </c>
      <c r="H23" s="17">
        <v>2712819.8883397216</v>
      </c>
      <c r="I23" s="17">
        <v>4495940.6088729529</v>
      </c>
      <c r="J23" s="17">
        <v>7208760.4972126745</v>
      </c>
      <c r="K23" s="11">
        <f t="shared" si="2"/>
        <v>0.65729417872430984</v>
      </c>
    </row>
    <row r="24" spans="1:11" x14ac:dyDescent="0.25">
      <c r="A24" s="4" t="s">
        <v>616</v>
      </c>
      <c r="B24" s="17">
        <v>8388498.7465000497</v>
      </c>
      <c r="C24" s="17">
        <v>8749445.0849572178</v>
      </c>
      <c r="D24" s="17">
        <v>17137943.831457268</v>
      </c>
      <c r="E24" s="11">
        <f t="shared" si="3"/>
        <v>4.3028716980826449E-2</v>
      </c>
      <c r="G24" s="4" t="s">
        <v>647</v>
      </c>
      <c r="H24" s="17">
        <v>3091774.3508268986</v>
      </c>
      <c r="I24" s="17">
        <v>1211272.2876471402</v>
      </c>
      <c r="J24" s="17">
        <v>4303046.6384740388</v>
      </c>
      <c r="K24" s="11">
        <f t="shared" si="2"/>
        <v>-0.60822746093252766</v>
      </c>
    </row>
    <row r="25" spans="1:11" x14ac:dyDescent="0.25">
      <c r="A25" s="4" t="s">
        <v>613</v>
      </c>
      <c r="B25" s="17">
        <v>5017522.0261576334</v>
      </c>
      <c r="C25" s="17">
        <v>8718785.3555475157</v>
      </c>
      <c r="D25" s="17">
        <v>13736307.38170515</v>
      </c>
      <c r="E25" s="11">
        <f t="shared" si="3"/>
        <v>0.73766757975236463</v>
      </c>
      <c r="G25" s="4" t="s">
        <v>648</v>
      </c>
      <c r="H25" s="17">
        <v>3096158.8089635633</v>
      </c>
      <c r="I25" s="17">
        <v>5050234.3267248301</v>
      </c>
      <c r="J25" s="17">
        <v>8146393.1356883934</v>
      </c>
      <c r="K25" s="11">
        <f t="shared" si="2"/>
        <v>0.63112896925832818</v>
      </c>
    </row>
    <row r="26" spans="1:11" x14ac:dyDescent="0.25">
      <c r="A26" s="4" t="s">
        <v>614</v>
      </c>
      <c r="B26" s="17">
        <v>7917744.8052256862</v>
      </c>
      <c r="C26" s="17">
        <v>7371708.1825002031</v>
      </c>
      <c r="D26" s="17">
        <v>15289452.987725889</v>
      </c>
      <c r="E26" s="11">
        <f t="shared" si="3"/>
        <v>-6.8963655202059632E-2</v>
      </c>
      <c r="G26" s="4" t="s">
        <v>649</v>
      </c>
      <c r="H26" s="17">
        <v>4534169.2129089702</v>
      </c>
      <c r="I26" s="17">
        <v>2038820.8538375481</v>
      </c>
      <c r="J26" s="17">
        <v>6572990.066746518</v>
      </c>
      <c r="K26" s="11">
        <f t="shared" ref="K26:K31" si="4">(I26-H26)/H26</f>
        <v>-0.55034301586430889</v>
      </c>
    </row>
    <row r="27" spans="1:11" x14ac:dyDescent="0.25">
      <c r="A27" s="4" t="s">
        <v>617</v>
      </c>
      <c r="B27" s="17">
        <v>7174018.6369918166</v>
      </c>
      <c r="C27" s="17">
        <v>10973526.902342465</v>
      </c>
      <c r="D27" s="17">
        <v>18147545.539334282</v>
      </c>
      <c r="E27" s="11">
        <f t="shared" si="3"/>
        <v>0.52962062933026399</v>
      </c>
      <c r="G27" s="4" t="s">
        <v>650</v>
      </c>
      <c r="H27" s="17">
        <v>3255508.6232701917</v>
      </c>
      <c r="I27" s="17">
        <v>4404538.2669081856</v>
      </c>
      <c r="J27" s="17">
        <v>7660046.8901783768</v>
      </c>
      <c r="K27" s="11">
        <f t="shared" si="4"/>
        <v>0.35294934727704141</v>
      </c>
    </row>
    <row r="28" spans="1:11" x14ac:dyDescent="0.25">
      <c r="A28" s="4" t="s">
        <v>635</v>
      </c>
      <c r="B28" s="17">
        <v>37307786.419182338</v>
      </c>
      <c r="C28" s="17">
        <v>46326907.43227458</v>
      </c>
      <c r="D28" s="17">
        <v>83634693.85145691</v>
      </c>
      <c r="E28" s="12">
        <f t="shared" si="3"/>
        <v>0.24174902557217737</v>
      </c>
      <c r="G28" s="4" t="s">
        <v>651</v>
      </c>
      <c r="H28" s="17">
        <v>3487120.6175877322</v>
      </c>
      <c r="I28" s="17">
        <v>3626309.578261775</v>
      </c>
      <c r="J28" s="17">
        <v>7113430.1958495071</v>
      </c>
      <c r="K28" s="11">
        <f t="shared" si="4"/>
        <v>3.9915155206282728E-2</v>
      </c>
    </row>
    <row r="29" spans="1:11" x14ac:dyDescent="0.25">
      <c r="G29" s="4" t="s">
        <v>652</v>
      </c>
      <c r="H29" s="17">
        <v>1391661.8013843708</v>
      </c>
      <c r="I29" s="17">
        <v>6028004.6300780866</v>
      </c>
      <c r="J29" s="17">
        <v>7419666.4314624574</v>
      </c>
      <c r="K29" s="11">
        <f>(I29-H29)/H29</f>
        <v>3.3315154760169916</v>
      </c>
    </row>
    <row r="30" spans="1:11" x14ac:dyDescent="0.25">
      <c r="G30" s="4" t="s">
        <v>653</v>
      </c>
      <c r="H30" s="17">
        <v>2975447.2841497231</v>
      </c>
      <c r="I30" s="17">
        <v>2486798.4898937065</v>
      </c>
      <c r="J30" s="17">
        <v>5462245.7740434296</v>
      </c>
      <c r="K30" s="11">
        <f t="shared" si="4"/>
        <v>-0.16422700441007981</v>
      </c>
    </row>
    <row r="31" spans="1:11" x14ac:dyDescent="0.25">
      <c r="G31" s="4" t="s">
        <v>635</v>
      </c>
      <c r="H31" s="17">
        <v>37307786.41918233</v>
      </c>
      <c r="I31" s="17">
        <v>46326907.43227458</v>
      </c>
      <c r="J31" s="17">
        <v>83634693.851456895</v>
      </c>
      <c r="K31" s="12">
        <f t="shared" si="4"/>
        <v>0.24174902557217762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CDD36-B148-4902-9C57-7940EC8EAB96}">
  <sheetPr>
    <tabColor rgb="FFFF0000"/>
  </sheetPr>
  <dimension ref="A4:J42"/>
  <sheetViews>
    <sheetView showGridLines="0" workbookViewId="0">
      <selection activeCell="A14" sqref="A14"/>
    </sheetView>
  </sheetViews>
  <sheetFormatPr defaultRowHeight="15" x14ac:dyDescent="0.25"/>
  <cols>
    <col min="1" max="1" width="18.140625" bestFit="1" customWidth="1"/>
    <col min="2" max="2" width="20" bestFit="1" customWidth="1"/>
    <col min="3" max="3" width="14" bestFit="1" customWidth="1"/>
    <col min="4" max="4" width="19.42578125" bestFit="1" customWidth="1"/>
    <col min="5" max="5" width="11.28515625" bestFit="1" customWidth="1"/>
    <col min="6" max="6" width="18.140625" bestFit="1" customWidth="1"/>
    <col min="7" max="7" width="13.28515625" bestFit="1" customWidth="1"/>
    <col min="8" max="8" width="10" bestFit="1" customWidth="1"/>
    <col min="9" max="9" width="11.28515625" bestFit="1" customWidth="1"/>
    <col min="15" max="15" width="18.140625" bestFit="1" customWidth="1"/>
    <col min="16" max="16" width="14" bestFit="1" customWidth="1"/>
  </cols>
  <sheetData>
    <row r="4" spans="1:10" x14ac:dyDescent="0.25">
      <c r="F4" s="20" t="s">
        <v>706</v>
      </c>
    </row>
    <row r="5" spans="1:10" x14ac:dyDescent="0.25">
      <c r="A5" s="3" t="s">
        <v>680</v>
      </c>
      <c r="B5" t="s">
        <v>659</v>
      </c>
      <c r="F5" s="3" t="s">
        <v>706</v>
      </c>
      <c r="G5" s="3" t="s">
        <v>663</v>
      </c>
    </row>
    <row r="6" spans="1:10" x14ac:dyDescent="0.25">
      <c r="A6" s="4" t="s">
        <v>654</v>
      </c>
      <c r="B6" s="17">
        <v>100090676.96203929</v>
      </c>
      <c r="F6" s="3" t="s">
        <v>4</v>
      </c>
      <c r="G6" t="s">
        <v>654</v>
      </c>
      <c r="H6" t="s">
        <v>655</v>
      </c>
      <c r="I6" t="s">
        <v>635</v>
      </c>
    </row>
    <row r="7" spans="1:10" x14ac:dyDescent="0.25">
      <c r="A7" s="4" t="s">
        <v>655</v>
      </c>
      <c r="B7" s="17">
        <v>114724939.32097203</v>
      </c>
      <c r="F7" s="4" t="s">
        <v>623</v>
      </c>
      <c r="G7" s="17">
        <v>18806023.891625967</v>
      </c>
      <c r="H7" s="17">
        <v>26849741.424641903</v>
      </c>
      <c r="I7" s="17">
        <v>45655765.31626787</v>
      </c>
      <c r="J7" s="11">
        <f t="shared" ref="J7:J12" si="0">(H7-G7)/G7</f>
        <v>0.42772026555797793</v>
      </c>
    </row>
    <row r="8" spans="1:10" x14ac:dyDescent="0.25">
      <c r="A8" s="4" t="s">
        <v>635</v>
      </c>
      <c r="B8" s="17">
        <v>214815616.28301132</v>
      </c>
      <c r="F8" s="4" t="s">
        <v>620</v>
      </c>
      <c r="G8" s="17">
        <v>24187339.479370948</v>
      </c>
      <c r="H8" s="17">
        <v>20731435.409124248</v>
      </c>
      <c r="I8" s="17">
        <v>44918774.888495192</v>
      </c>
      <c r="J8" s="11">
        <f t="shared" si="0"/>
        <v>-0.14288070307171211</v>
      </c>
    </row>
    <row r="9" spans="1:10" x14ac:dyDescent="0.25">
      <c r="F9" s="4" t="s">
        <v>621</v>
      </c>
      <c r="G9" s="17">
        <v>19968631.830149658</v>
      </c>
      <c r="H9" s="17">
        <v>20194969.671735421</v>
      </c>
      <c r="I9" s="17">
        <v>40163601.501885079</v>
      </c>
      <c r="J9" s="11">
        <f t="shared" si="0"/>
        <v>1.1334669471146561E-2</v>
      </c>
    </row>
    <row r="10" spans="1:10" x14ac:dyDescent="0.25">
      <c r="F10" s="4" t="s">
        <v>624</v>
      </c>
      <c r="G10" s="17">
        <v>15531045.033176525</v>
      </c>
      <c r="H10" s="17">
        <v>23636291.878254145</v>
      </c>
      <c r="I10" s="17">
        <v>39167336.911430672</v>
      </c>
      <c r="J10" s="11">
        <f t="shared" si="0"/>
        <v>0.52187388728599127</v>
      </c>
    </row>
    <row r="11" spans="1:10" x14ac:dyDescent="0.25">
      <c r="A11" s="21" t="s">
        <v>705</v>
      </c>
      <c r="F11" s="4" t="s">
        <v>622</v>
      </c>
      <c r="G11" s="17">
        <v>21597636.727716234</v>
      </c>
      <c r="H11" s="17">
        <v>23312500.937216315</v>
      </c>
      <c r="I11" s="17">
        <v>44910137.664932549</v>
      </c>
      <c r="J11" s="11">
        <f t="shared" si="0"/>
        <v>7.9400548824834979E-2</v>
      </c>
    </row>
    <row r="12" spans="1:10" x14ac:dyDescent="0.25">
      <c r="A12" s="3" t="s">
        <v>658</v>
      </c>
      <c r="B12" s="3" t="s">
        <v>663</v>
      </c>
      <c r="F12" s="4" t="s">
        <v>635</v>
      </c>
      <c r="G12" s="17">
        <v>100090676.96203934</v>
      </c>
      <c r="H12" s="17">
        <v>114724939.32097203</v>
      </c>
      <c r="I12" s="17">
        <v>214815616.28301138</v>
      </c>
      <c r="J12" s="12">
        <f t="shared" si="0"/>
        <v>0.14621004476253988</v>
      </c>
    </row>
    <row r="13" spans="1:10" x14ac:dyDescent="0.25">
      <c r="A13" s="3" t="s">
        <v>2</v>
      </c>
      <c r="B13" s="13" t="s">
        <v>654</v>
      </c>
      <c r="C13" s="13" t="s">
        <v>655</v>
      </c>
      <c r="D13" t="s">
        <v>635</v>
      </c>
    </row>
    <row r="14" spans="1:10" x14ac:dyDescent="0.25">
      <c r="A14" s="4" t="s">
        <v>615</v>
      </c>
      <c r="B14" s="17">
        <v>20681968.758708429</v>
      </c>
      <c r="C14" s="17">
        <v>24396373.274804726</v>
      </c>
      <c r="D14" s="17">
        <v>45078342.033513159</v>
      </c>
    </row>
    <row r="15" spans="1:10" x14ac:dyDescent="0.25">
      <c r="A15" s="4" t="s">
        <v>616</v>
      </c>
      <c r="B15" s="17">
        <v>23145862.211925674</v>
      </c>
      <c r="C15" s="17">
        <v>22456307.760802973</v>
      </c>
      <c r="D15" s="17">
        <v>45602169.972728647</v>
      </c>
    </row>
    <row r="16" spans="1:10" x14ac:dyDescent="0.25">
      <c r="A16" s="4" t="s">
        <v>613</v>
      </c>
      <c r="B16" s="17">
        <v>17629090.22931755</v>
      </c>
      <c r="C16" s="17">
        <v>20944049.510428105</v>
      </c>
      <c r="D16" s="17">
        <v>38573139.739745654</v>
      </c>
    </row>
    <row r="17" spans="1:8" x14ac:dyDescent="0.25">
      <c r="A17" s="4" t="s">
        <v>614</v>
      </c>
      <c r="B17" s="17">
        <v>19041290.789750386</v>
      </c>
      <c r="C17" s="17">
        <v>20111449.396280758</v>
      </c>
      <c r="D17" s="17">
        <v>39152740.186031148</v>
      </c>
      <c r="F17" s="3" t="s">
        <v>670</v>
      </c>
      <c r="G17" t="s">
        <v>655</v>
      </c>
    </row>
    <row r="18" spans="1:8" x14ac:dyDescent="0.25">
      <c r="A18" s="4" t="s">
        <v>617</v>
      </c>
      <c r="B18" s="17">
        <v>19592464.972337294</v>
      </c>
      <c r="C18" s="17">
        <v>26816759.37865546</v>
      </c>
      <c r="D18" s="17">
        <v>46409224.350992754</v>
      </c>
    </row>
    <row r="19" spans="1:8" x14ac:dyDescent="0.25">
      <c r="A19" s="4" t="s">
        <v>635</v>
      </c>
      <c r="B19" s="17">
        <v>100090676.96203932</v>
      </c>
      <c r="C19" s="17">
        <v>114724939.32097203</v>
      </c>
      <c r="D19" s="17">
        <v>214815616.28301132</v>
      </c>
      <c r="F19" s="3" t="s">
        <v>4</v>
      </c>
      <c r="G19" t="s">
        <v>707</v>
      </c>
    </row>
    <row r="20" spans="1:8" x14ac:dyDescent="0.25">
      <c r="F20" s="4" t="s">
        <v>623</v>
      </c>
      <c r="G20" s="17">
        <v>26849741.4246419</v>
      </c>
    </row>
    <row r="21" spans="1:8" x14ac:dyDescent="0.25">
      <c r="F21" s="4" t="s">
        <v>620</v>
      </c>
      <c r="G21" s="17">
        <v>20731435.409124255</v>
      </c>
    </row>
    <row r="22" spans="1:8" x14ac:dyDescent="0.25">
      <c r="A22" s="20" t="s">
        <v>704</v>
      </c>
      <c r="F22" s="4" t="s">
        <v>621</v>
      </c>
      <c r="G22" s="17">
        <v>20194969.671735421</v>
      </c>
    </row>
    <row r="23" spans="1:8" x14ac:dyDescent="0.25">
      <c r="A23" s="3" t="s">
        <v>703</v>
      </c>
      <c r="B23" s="3" t="s">
        <v>663</v>
      </c>
      <c r="F23" s="4" t="s">
        <v>624</v>
      </c>
      <c r="G23" s="17">
        <v>23636291.878254145</v>
      </c>
    </row>
    <row r="24" spans="1:8" x14ac:dyDescent="0.25">
      <c r="A24" s="3" t="s">
        <v>634</v>
      </c>
      <c r="B24" s="24" t="s">
        <v>654</v>
      </c>
      <c r="C24" s="24" t="s">
        <v>655</v>
      </c>
      <c r="F24" s="4" t="s">
        <v>622</v>
      </c>
      <c r="G24" s="17">
        <v>23312500.937216323</v>
      </c>
    </row>
    <row r="25" spans="1:8" x14ac:dyDescent="0.25">
      <c r="A25" s="4" t="s">
        <v>615</v>
      </c>
      <c r="B25" s="16">
        <v>0.26757161103846244</v>
      </c>
      <c r="C25" s="16">
        <v>0.26431341243074313</v>
      </c>
      <c r="F25" s="4" t="s">
        <v>635</v>
      </c>
      <c r="G25" s="17">
        <v>114724939.32097204</v>
      </c>
    </row>
    <row r="26" spans="1:8" x14ac:dyDescent="0.25">
      <c r="A26" s="4" t="s">
        <v>616</v>
      </c>
      <c r="B26" s="16">
        <v>0.28218813219556427</v>
      </c>
      <c r="C26" s="16">
        <v>0.31163302371741614</v>
      </c>
    </row>
    <row r="27" spans="1:8" x14ac:dyDescent="0.25">
      <c r="A27" s="4" t="s">
        <v>613</v>
      </c>
      <c r="B27" s="16">
        <v>0.29924589261941631</v>
      </c>
      <c r="C27" s="16">
        <v>0.28098916659906847</v>
      </c>
      <c r="F27" s="3" t="s">
        <v>670</v>
      </c>
      <c r="G27" t="s">
        <v>655</v>
      </c>
    </row>
    <row r="28" spans="1:8" x14ac:dyDescent="0.25">
      <c r="A28" s="4" t="s">
        <v>614</v>
      </c>
      <c r="B28" s="16">
        <v>0.27795075799088143</v>
      </c>
      <c r="C28" s="16">
        <v>0.27964908539949274</v>
      </c>
    </row>
    <row r="29" spans="1:8" x14ac:dyDescent="0.25">
      <c r="A29" s="4" t="s">
        <v>617</v>
      </c>
      <c r="B29" s="16">
        <v>0.29013725507814558</v>
      </c>
      <c r="C29" s="16">
        <v>0.28870032744168544</v>
      </c>
      <c r="F29" s="3" t="s">
        <v>634</v>
      </c>
      <c r="G29" t="s">
        <v>12</v>
      </c>
      <c r="H29" t="s">
        <v>658</v>
      </c>
    </row>
    <row r="30" spans="1:8" x14ac:dyDescent="0.25">
      <c r="A30" s="4" t="s">
        <v>635</v>
      </c>
      <c r="B30" s="16">
        <v>0.2825314407618667</v>
      </c>
      <c r="C30" s="16">
        <v>0.28418189139819638</v>
      </c>
      <c r="F30" s="4" t="s">
        <v>642</v>
      </c>
      <c r="G30" s="17">
        <v>34005110.810946897</v>
      </c>
      <c r="H30" s="17">
        <v>10115198.767817393</v>
      </c>
    </row>
    <row r="31" spans="1:8" x14ac:dyDescent="0.25">
      <c r="F31" s="4" t="s">
        <v>643</v>
      </c>
      <c r="G31" s="17">
        <v>34058556.472710803</v>
      </c>
      <c r="H31" s="17">
        <v>9278377.2337525971</v>
      </c>
    </row>
    <row r="32" spans="1:8" x14ac:dyDescent="0.25">
      <c r="F32" s="4" t="s">
        <v>644</v>
      </c>
      <c r="G32" s="17">
        <v>28533026.044719767</v>
      </c>
      <c r="H32" s="17">
        <v>8079538.5576195028</v>
      </c>
    </row>
    <row r="33" spans="1:8" x14ac:dyDescent="0.25">
      <c r="F33" s="4" t="s">
        <v>645</v>
      </c>
      <c r="G33" s="17">
        <v>48527492.281572178</v>
      </c>
      <c r="H33" s="17">
        <v>14303305.3334269</v>
      </c>
    </row>
    <row r="34" spans="1:8" x14ac:dyDescent="0.25">
      <c r="A34" s="3" t="s">
        <v>670</v>
      </c>
      <c r="B34" t="s">
        <v>655</v>
      </c>
      <c r="F34" s="4" t="s">
        <v>646</v>
      </c>
      <c r="G34" s="17">
        <v>34325054.391127042</v>
      </c>
      <c r="H34" s="17">
        <v>8696745.2454118114</v>
      </c>
    </row>
    <row r="35" spans="1:8" x14ac:dyDescent="0.25">
      <c r="F35" s="4" t="s">
        <v>647</v>
      </c>
      <c r="G35" s="17">
        <v>11888774.712352859</v>
      </c>
      <c r="H35" s="17">
        <v>4326845.4294651356</v>
      </c>
    </row>
    <row r="36" spans="1:8" x14ac:dyDescent="0.25">
      <c r="A36" t="s">
        <v>637</v>
      </c>
      <c r="B36" t="s">
        <v>636</v>
      </c>
      <c r="C36" t="s">
        <v>641</v>
      </c>
      <c r="D36" t="s">
        <v>661</v>
      </c>
      <c r="F36" s="4" t="s">
        <v>648</v>
      </c>
      <c r="G36" s="17">
        <v>43022059.67327518</v>
      </c>
      <c r="H36" s="17">
        <v>10596717.819817135</v>
      </c>
    </row>
    <row r="37" spans="1:8" x14ac:dyDescent="0.25">
      <c r="A37" s="17">
        <v>288977558.24675345</v>
      </c>
      <c r="B37" s="17">
        <v>403702497.56772548</v>
      </c>
      <c r="C37" s="17">
        <v>114724939.32097207</v>
      </c>
      <c r="D37" s="6">
        <v>0.28418189139819655</v>
      </c>
      <c r="F37" s="4" t="s">
        <v>649</v>
      </c>
      <c r="G37" s="17">
        <v>20658433.146162454</v>
      </c>
      <c r="H37" s="17">
        <v>6401523.7594764624</v>
      </c>
    </row>
    <row r="38" spans="1:8" x14ac:dyDescent="0.25">
      <c r="F38" s="4" t="s">
        <v>650</v>
      </c>
      <c r="G38" s="17">
        <v>32666766.733091816</v>
      </c>
      <c r="H38" s="17">
        <v>7831966.2205001675</v>
      </c>
    </row>
    <row r="39" spans="1:8" x14ac:dyDescent="0.25">
      <c r="F39" s="4" t="s">
        <v>651</v>
      </c>
      <c r="G39" s="17">
        <v>36655361.421738222</v>
      </c>
      <c r="H39" s="17">
        <v>11168815.709252726</v>
      </c>
    </row>
    <row r="40" spans="1:8" x14ac:dyDescent="0.25">
      <c r="F40" s="4" t="s">
        <v>652</v>
      </c>
      <c r="G40" s="17">
        <v>53286899.369921915</v>
      </c>
      <c r="H40" s="17">
        <v>15080339.217491988</v>
      </c>
    </row>
    <row r="41" spans="1:8" x14ac:dyDescent="0.25">
      <c r="F41" s="4" t="s">
        <v>653</v>
      </c>
      <c r="G41" s="17">
        <v>26074962.510106288</v>
      </c>
      <c r="H41" s="17">
        <v>8845566.026940221</v>
      </c>
    </row>
    <row r="42" spans="1:8" x14ac:dyDescent="0.25">
      <c r="F42" s="4" t="s">
        <v>635</v>
      </c>
      <c r="G42" s="17">
        <v>403702497.56772542</v>
      </c>
      <c r="H42" s="17">
        <v>114724939.32097206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695F8-6DA4-4116-8331-C76C70B721F1}">
  <sheetPr>
    <tabColor theme="8" tint="0.59999389629810485"/>
  </sheetPr>
  <dimension ref="A3:K30"/>
  <sheetViews>
    <sheetView showGridLines="0" workbookViewId="0">
      <selection activeCell="K17" sqref="K17"/>
    </sheetView>
  </sheetViews>
  <sheetFormatPr defaultRowHeight="15" x14ac:dyDescent="0.25"/>
  <cols>
    <col min="1" max="1" width="11.28515625" bestFit="1" customWidth="1"/>
    <col min="2" max="3" width="10" bestFit="1" customWidth="1"/>
    <col min="4" max="4" width="14.140625" bestFit="1" customWidth="1"/>
    <col min="5" max="6" width="10" bestFit="1" customWidth="1"/>
    <col min="7" max="7" width="11.28515625" bestFit="1" customWidth="1"/>
    <col min="8" max="8" width="18.140625" bestFit="1" customWidth="1"/>
    <col min="9" max="9" width="11.42578125" bestFit="1" customWidth="1"/>
    <col min="10" max="10" width="11.28515625" bestFit="1" customWidth="1"/>
    <col min="11" max="11" width="17.85546875" bestFit="1" customWidth="1"/>
  </cols>
  <sheetData>
    <row r="3" spans="1:11" x14ac:dyDescent="0.25">
      <c r="A3" s="20" t="s">
        <v>709</v>
      </c>
      <c r="D3" s="20" t="s">
        <v>708</v>
      </c>
    </row>
    <row r="4" spans="1:11" x14ac:dyDescent="0.25">
      <c r="A4" s="3" t="s">
        <v>2</v>
      </c>
      <c r="B4" t="s">
        <v>10</v>
      </c>
      <c r="D4" s="3" t="s">
        <v>708</v>
      </c>
      <c r="E4" s="3" t="s">
        <v>663</v>
      </c>
    </row>
    <row r="5" spans="1:11" x14ac:dyDescent="0.25">
      <c r="A5" s="4" t="s">
        <v>615</v>
      </c>
      <c r="B5" s="17">
        <v>124517664.8552525</v>
      </c>
      <c r="D5" s="15" t="s">
        <v>4</v>
      </c>
      <c r="E5" s="13" t="s">
        <v>654</v>
      </c>
      <c r="F5" s="13" t="s">
        <v>655</v>
      </c>
      <c r="G5" s="13" t="s">
        <v>635</v>
      </c>
      <c r="H5" s="14" t="s">
        <v>664</v>
      </c>
      <c r="J5" s="3" t="s">
        <v>680</v>
      </c>
      <c r="K5" t="s">
        <v>672</v>
      </c>
    </row>
    <row r="6" spans="1:11" x14ac:dyDescent="0.25">
      <c r="A6" s="4" t="s">
        <v>616</v>
      </c>
      <c r="B6" s="17">
        <v>108480738.19581407</v>
      </c>
      <c r="D6" s="4" t="s">
        <v>623</v>
      </c>
      <c r="E6" s="17">
        <v>51743794.048231572</v>
      </c>
      <c r="F6" s="17">
        <v>65774776.724375367</v>
      </c>
      <c r="G6" s="17">
        <v>117518570.77260694</v>
      </c>
      <c r="H6" s="11">
        <f t="shared" ref="H6:H11" si="0">(F6-E6)/E6</f>
        <v>0.27116261832414523</v>
      </c>
      <c r="J6" s="4" t="s">
        <v>654</v>
      </c>
      <c r="K6" s="17">
        <v>254173176.61877832</v>
      </c>
    </row>
    <row r="7" spans="1:11" x14ac:dyDescent="0.25">
      <c r="A7" s="4" t="s">
        <v>613</v>
      </c>
      <c r="B7" s="17">
        <v>94875437.878549173</v>
      </c>
      <c r="D7" s="4" t="s">
        <v>620</v>
      </c>
      <c r="E7" s="17">
        <v>55118008.001320742</v>
      </c>
      <c r="F7" s="17">
        <v>59424319.03330186</v>
      </c>
      <c r="G7" s="17">
        <v>114542327.03462261</v>
      </c>
      <c r="H7" s="11">
        <f t="shared" si="0"/>
        <v>7.8128930782076333E-2</v>
      </c>
      <c r="J7" s="4" t="s">
        <v>655</v>
      </c>
      <c r="K7" s="17">
        <v>288977558.24675322</v>
      </c>
    </row>
    <row r="8" spans="1:11" x14ac:dyDescent="0.25">
      <c r="A8" s="4" t="s">
        <v>614</v>
      </c>
      <c r="B8" s="17">
        <v>101269981.82624294</v>
      </c>
      <c r="D8" s="4" t="s">
        <v>621</v>
      </c>
      <c r="E8" s="17">
        <v>46561198.671660416</v>
      </c>
      <c r="F8" s="17">
        <v>43175719.525883079</v>
      </c>
      <c r="G8" s="17">
        <v>89736918.197543502</v>
      </c>
      <c r="H8" s="11">
        <f t="shared" si="0"/>
        <v>-7.2710309063368617E-2</v>
      </c>
      <c r="J8" s="4" t="s">
        <v>635</v>
      </c>
      <c r="K8" s="17">
        <v>543150734.86553156</v>
      </c>
    </row>
    <row r="9" spans="1:11" x14ac:dyDescent="0.25">
      <c r="A9" s="4" t="s">
        <v>617</v>
      </c>
      <c r="B9" s="17">
        <v>114006912.10967298</v>
      </c>
      <c r="D9" s="4" t="s">
        <v>624</v>
      </c>
      <c r="E9" s="17">
        <v>44734699.292536609</v>
      </c>
      <c r="F9" s="17">
        <v>59550395.16780974</v>
      </c>
      <c r="G9" s="17">
        <v>104285094.46034634</v>
      </c>
      <c r="H9" s="11">
        <f t="shared" si="0"/>
        <v>0.33119024179391171</v>
      </c>
    </row>
    <row r="10" spans="1:11" x14ac:dyDescent="0.25">
      <c r="A10" s="4" t="s">
        <v>635</v>
      </c>
      <c r="B10" s="17">
        <v>543150734.86553168</v>
      </c>
      <c r="D10" s="4" t="s">
        <v>622</v>
      </c>
      <c r="E10" s="17">
        <v>56015476.605028987</v>
      </c>
      <c r="F10" s="17">
        <v>61052347.795383349</v>
      </c>
      <c r="G10" s="17">
        <v>117067824.40041234</v>
      </c>
      <c r="H10" s="11">
        <f t="shared" si="0"/>
        <v>8.9919277593045757E-2</v>
      </c>
    </row>
    <row r="11" spans="1:11" x14ac:dyDescent="0.25">
      <c r="D11" s="4" t="s">
        <v>635</v>
      </c>
      <c r="E11" s="17">
        <v>254173176.61877835</v>
      </c>
      <c r="F11" s="17">
        <v>288977558.24675339</v>
      </c>
      <c r="G11" s="17">
        <v>543150734.86553168</v>
      </c>
      <c r="H11" s="12">
        <f t="shared" si="0"/>
        <v>0.13693176475571378</v>
      </c>
    </row>
    <row r="14" spans="1:11" x14ac:dyDescent="0.25">
      <c r="A14" s="20" t="s">
        <v>686</v>
      </c>
    </row>
    <row r="15" spans="1:11" x14ac:dyDescent="0.25">
      <c r="A15" s="3" t="s">
        <v>686</v>
      </c>
      <c r="B15" s="3" t="s">
        <v>663</v>
      </c>
      <c r="D15" s="8"/>
      <c r="H15" s="3" t="s">
        <v>670</v>
      </c>
      <c r="I15" t="s">
        <v>655</v>
      </c>
    </row>
    <row r="16" spans="1:11" x14ac:dyDescent="0.25">
      <c r="A16" s="3" t="s">
        <v>657</v>
      </c>
      <c r="B16" t="s">
        <v>654</v>
      </c>
      <c r="C16" t="s">
        <v>655</v>
      </c>
      <c r="D16" s="9" t="s">
        <v>664</v>
      </c>
    </row>
    <row r="17" spans="1:9" x14ac:dyDescent="0.25">
      <c r="A17" s="4" t="s">
        <v>642</v>
      </c>
      <c r="B17" s="17">
        <v>24713979.308658127</v>
      </c>
      <c r="C17" s="17">
        <v>23889912.043129493</v>
      </c>
      <c r="D17" s="7">
        <f>(C17-B17)/B17</f>
        <v>-3.3344175587293468E-2</v>
      </c>
      <c r="H17" s="3" t="s">
        <v>634</v>
      </c>
      <c r="I17" t="s">
        <v>637</v>
      </c>
    </row>
    <row r="18" spans="1:9" x14ac:dyDescent="0.25">
      <c r="A18" s="4" t="s">
        <v>643</v>
      </c>
      <c r="B18" s="17">
        <v>24543082.932878233</v>
      </c>
      <c r="C18" s="17">
        <v>24780179.238958199</v>
      </c>
      <c r="D18" s="7">
        <f t="shared" ref="D18:D29" si="1">(C18-B18)/B18</f>
        <v>9.6604125377561176E-3</v>
      </c>
      <c r="H18" s="4" t="s">
        <v>642</v>
      </c>
      <c r="I18" s="17">
        <v>23889912.043129496</v>
      </c>
    </row>
    <row r="19" spans="1:9" x14ac:dyDescent="0.25">
      <c r="A19" s="4" t="s">
        <v>644</v>
      </c>
      <c r="B19" s="17">
        <v>13143777.280457115</v>
      </c>
      <c r="C19" s="17">
        <v>20453487.487100266</v>
      </c>
      <c r="D19" s="7">
        <f t="shared" si="1"/>
        <v>0.55613466743016315</v>
      </c>
      <c r="H19" s="4" t="s">
        <v>643</v>
      </c>
      <c r="I19" s="17">
        <v>24780179.238958202</v>
      </c>
    </row>
    <row r="20" spans="1:9" x14ac:dyDescent="0.25">
      <c r="A20" s="4" t="s">
        <v>645</v>
      </c>
      <c r="B20" s="17">
        <v>21597365.726365089</v>
      </c>
      <c r="C20" s="17">
        <v>34224186.948145278</v>
      </c>
      <c r="D20" s="7">
        <f t="shared" si="1"/>
        <v>0.58464635834572798</v>
      </c>
      <c r="H20" s="4" t="s">
        <v>644</v>
      </c>
      <c r="I20" s="17">
        <v>20453487.487100266</v>
      </c>
    </row>
    <row r="21" spans="1:9" x14ac:dyDescent="0.25">
      <c r="A21" s="4" t="s">
        <v>646</v>
      </c>
      <c r="B21" s="17">
        <v>18821196.359341331</v>
      </c>
      <c r="C21" s="17">
        <v>25628309.145715233</v>
      </c>
      <c r="D21" s="7">
        <f t="shared" si="1"/>
        <v>0.36167269372307453</v>
      </c>
      <c r="H21" s="4" t="s">
        <v>645</v>
      </c>
      <c r="I21" s="17">
        <v>34224186.948145278</v>
      </c>
    </row>
    <row r="22" spans="1:9" x14ac:dyDescent="0.25">
      <c r="A22" s="4" t="s">
        <v>647</v>
      </c>
      <c r="B22" s="17">
        <v>19094938.535508871</v>
      </c>
      <c r="C22" s="17">
        <v>7561929.2828877252</v>
      </c>
      <c r="D22" s="7">
        <f t="shared" si="1"/>
        <v>-0.60398252820633114</v>
      </c>
      <c r="H22" s="4" t="s">
        <v>646</v>
      </c>
      <c r="I22" s="17">
        <v>25628309.145715233</v>
      </c>
    </row>
    <row r="23" spans="1:9" x14ac:dyDescent="0.25">
      <c r="A23" s="4" t="s">
        <v>648</v>
      </c>
      <c r="B23" s="17">
        <v>23875654.859628066</v>
      </c>
      <c r="C23" s="17">
        <v>32425341.853458039</v>
      </c>
      <c r="D23" s="7">
        <f t="shared" si="1"/>
        <v>0.35809225104383835</v>
      </c>
      <c r="H23" s="4" t="s">
        <v>647</v>
      </c>
      <c r="I23" s="17">
        <v>7561929.2828877252</v>
      </c>
    </row>
    <row r="24" spans="1:9" x14ac:dyDescent="0.25">
      <c r="A24" s="4" t="s">
        <v>649</v>
      </c>
      <c r="B24" s="17">
        <v>33352147.396110192</v>
      </c>
      <c r="C24" s="17">
        <v>14256909.386685988</v>
      </c>
      <c r="D24" s="7">
        <f t="shared" si="1"/>
        <v>-0.5725339895700764</v>
      </c>
      <c r="H24" s="4" t="s">
        <v>648</v>
      </c>
      <c r="I24" s="17">
        <v>32425341.853458039</v>
      </c>
    </row>
    <row r="25" spans="1:9" x14ac:dyDescent="0.25">
      <c r="A25" s="4" t="s">
        <v>650</v>
      </c>
      <c r="B25" s="17">
        <v>21304423.727885701</v>
      </c>
      <c r="C25" s="17">
        <v>24834800.512591649</v>
      </c>
      <c r="D25" s="7">
        <f t="shared" si="1"/>
        <v>0.1657109729790523</v>
      </c>
      <c r="H25" s="4" t="s">
        <v>649</v>
      </c>
      <c r="I25" s="17">
        <v>14256909.386685988</v>
      </c>
    </row>
    <row r="26" spans="1:9" x14ac:dyDescent="0.25">
      <c r="A26" s="4" t="s">
        <v>651</v>
      </c>
      <c r="B26" s="17">
        <v>16262238.84107866</v>
      </c>
      <c r="C26" s="17">
        <v>25486545.712485503</v>
      </c>
      <c r="D26" s="7">
        <f t="shared" si="1"/>
        <v>0.5672224446800096</v>
      </c>
      <c r="H26" s="4" t="s">
        <v>650</v>
      </c>
      <c r="I26" s="17">
        <v>24834800.512591649</v>
      </c>
    </row>
    <row r="27" spans="1:9" x14ac:dyDescent="0.25">
      <c r="A27" s="4" t="s">
        <v>652</v>
      </c>
      <c r="B27" s="17">
        <v>17040278.931370642</v>
      </c>
      <c r="C27" s="17">
        <v>38206560.152429938</v>
      </c>
      <c r="D27" s="7">
        <f>(C27-B27)/B27</f>
        <v>1.2421323210908719</v>
      </c>
      <c r="H27" s="4" t="s">
        <v>651</v>
      </c>
      <c r="I27" s="17">
        <v>25486545.712485503</v>
      </c>
    </row>
    <row r="28" spans="1:9" x14ac:dyDescent="0.25">
      <c r="A28" s="4" t="s">
        <v>653</v>
      </c>
      <c r="B28" s="17">
        <v>20424092.719496299</v>
      </c>
      <c r="C28" s="17">
        <v>17229396.483166073</v>
      </c>
      <c r="D28" s="7">
        <f t="shared" si="1"/>
        <v>-0.15641802454611134</v>
      </c>
      <c r="H28" s="4" t="s">
        <v>652</v>
      </c>
      <c r="I28" s="17">
        <v>38206560.152429931</v>
      </c>
    </row>
    <row r="29" spans="1:9" x14ac:dyDescent="0.25">
      <c r="A29" s="4" t="s">
        <v>635</v>
      </c>
      <c r="B29" s="17">
        <v>254173176.61877832</v>
      </c>
      <c r="C29" s="17">
        <v>288977558.24675345</v>
      </c>
      <c r="D29" s="10">
        <f t="shared" si="1"/>
        <v>0.13693176475571414</v>
      </c>
      <c r="H29" s="4" t="s">
        <v>653</v>
      </c>
      <c r="I29" s="17">
        <v>17229396.483166073</v>
      </c>
    </row>
    <row r="30" spans="1:9" x14ac:dyDescent="0.25">
      <c r="H30" s="4" t="s">
        <v>635</v>
      </c>
      <c r="I30" s="17">
        <v>288977558.24675339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 DATA</vt:lpstr>
      <vt:lpstr>CLEANED DATA</vt:lpstr>
      <vt:lpstr>2024 DASHBOARD</vt:lpstr>
      <vt:lpstr>DASHBOARD 2</vt:lpstr>
      <vt:lpstr>INSIGHT</vt:lpstr>
      <vt:lpstr>SALES ANALYSIS</vt:lpstr>
      <vt:lpstr>2023 VS 2024 PERFORMANCE</vt:lpstr>
      <vt:lpstr>ORDERS</vt:lpstr>
      <vt:lpstr>QUANTITY</vt:lpstr>
      <vt:lpstr>DISCOUNT</vt:lpstr>
      <vt:lpstr>PROFIT ANALYSIS</vt:lpstr>
      <vt:lpstr>COST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Oyegoke</dc:creator>
  <cp:lastModifiedBy>Timothy Oyegoke</cp:lastModifiedBy>
  <cp:lastPrinted>2026-04-29T16:49:05Z</cp:lastPrinted>
  <dcterms:created xsi:type="dcterms:W3CDTF">2026-04-14T14:12:25Z</dcterms:created>
  <dcterms:modified xsi:type="dcterms:W3CDTF">2026-09-22T15:10:15Z</dcterms:modified>
</cp:coreProperties>
</file>